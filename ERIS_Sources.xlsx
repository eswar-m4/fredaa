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ERIS" sheetId="1" r:id="rId1"/>
  </sheets>
  <definedNames>
    <definedName name="_xlnm._FilterDatabase" localSheetId="0" hidden="1">ERIS!$A$1:$F$87</definedName>
  </definedNames>
  <calcPr calcId="145621"/>
</workbook>
</file>

<file path=xl/calcChain.xml><?xml version="1.0" encoding="utf-8"?>
<calcChain xmlns="http://schemas.openxmlformats.org/spreadsheetml/2006/main">
  <c r="B56" i="1" l="1"/>
  <c r="B6" i="1"/>
  <c r="B5" i="1"/>
  <c r="B2" i="1"/>
</calcChain>
</file>

<file path=xl/sharedStrings.xml><?xml version="1.0" encoding="utf-8"?>
<sst xmlns="http://schemas.openxmlformats.org/spreadsheetml/2006/main" count="412" uniqueCount="302">
  <si>
    <t>Site Name</t>
  </si>
  <si>
    <t>Estimated Volume</t>
  </si>
  <si>
    <t>Website</t>
  </si>
  <si>
    <t>Attributes</t>
  </si>
  <si>
    <t>Country</t>
  </si>
  <si>
    <t>State</t>
  </si>
  <si>
    <t>CA_PES_QC</t>
  </si>
  <si>
    <t>https://www.registres.environnement.gouv.qc.ca/index_seap.asp</t>
  </si>
  <si>
    <t>Nom_du_demandeur|Localisation|Numéro|Objet_du_document|Type_de_document|Domaines_d'activité|Nom_de_l'établissement|Localisation|Date_de_réception|Date_de_délivrance|Date_d'expiration|Références_légales|Région_administrative|Source_Page_Number</t>
  </si>
  <si>
    <t>CA</t>
  </si>
  <si>
    <t>Quebec</t>
  </si>
  <si>
    <t>ROD</t>
  </si>
  <si>
    <t>https://www.epa.gov/superfund/search-superfund-documents</t>
  </si>
  <si>
    <t>Date|Region|State|Site_Name|Pub_Number|Description|Title|DOC_ID|EPA_ID|ERIS_Title_URL</t>
  </si>
  <si>
    <t>CORE_CA</t>
  </si>
  <si>
    <t>https://www.envirostor.dtsc.ca.gov/public/search?cmd=search&amp;reporttype=CORTESE&amp;site_type=CSITES,FUDS&amp;status=ACT,BKLG,COM&amp;reporttitle=HAZARDOUS+WASTE+AND+SUBSTANCES+SITE+LIST+%28CORTESE%29</t>
  </si>
  <si>
    <t>SITE_/_FACILITY_NAME|ESTOR_/_EPA_ID|PROGRAM_TYPE|STATUS|ADDRESS_DESCRIPTION|CITY|ZIP|CALENVIROSCREEN_SCORE|COUNTY|SUMMARY_URL|CLEANUP_STATUS|SITE_TYPE|NATIONAL_PRIORITIES_LIST|ACRES|APN|CLEANUP_OVERSIGHT_AGENCIES|SCHOOL_DISTRICT|PRESS_CONTACT|ENVIROSTOR_ID|SITE_CODE|SPECIAL_PROGRAM|FUNDING|ASSEMBLY_DISTRICT|SENATE_DISTRICT|PAST_USE(S)_THAT_CAUSED_CONTAMINATION|POTENTIAL_CONTAMINANTS_OF_CONCERN|POTENTIAL_MEDIA_AFFECTED|SITE_HISTORY|CENSUS_TRACT|PROJECT_MANAGER|SUPERVISOR|OFFICE|PUBLIC_PARTICIPATION_SPECIALIST|PERMIT_RENEWAL_LEAD</t>
  </si>
  <si>
    <t>US</t>
  </si>
  <si>
    <t>California</t>
  </si>
  <si>
    <t>UST_ID</t>
  </si>
  <si>
    <t xml:space="preserve">https://lw2.terradex.com/reporting/id_program_search/no_keyword/no_keyword/no_keyword/108/public/gov
http://www2.deq.idaho.gov/waste/ustlust/pages/Search.aspx </t>
  </si>
  <si>
    <t>Facility_ID|Facility_Name|Edited_By|Address_Line_1|Address_Line_2|Facility_Status|Facility_City|Facility_Zip|Facility_Phone|Facility_Latitude|Facility_Longitude|Date_Certified|Facility_Type|Within_1000_ft_of_a_drinking_water_source?|URL</t>
  </si>
  <si>
    <t>Idaho</t>
  </si>
  <si>
    <t>ICE_CA</t>
  </si>
  <si>
    <t>https://www.envirostor.dtsc.ca.gov/public/report_inspection|https://www.envirostor.dtsc.ca.gov/public/report_inspection</t>
  </si>
  <si>
    <t>EPA_ID|Facility_Type|Program_Type|Site_Facility_Type|Site_Code|Assembly_District|Senate_District|Census_Tract|Calenviroscreen_Percentile_Score|Facility_History</t>
  </si>
  <si>
    <t>SWRC_NC</t>
  </si>
  <si>
    <t>https://recyclingmarkets.deq.nc.gov/</t>
  </si>
  <si>
    <t>Company|Address|Address_Line_1|Address_Line_2|Address_Line_3|URL|Contact_(First_Name_&amp;_Last_Name)|Contact_Type|Telephone|E-mail|Company_Type|Company_Service_Area|Customers_Served|Comments|General_Requirements|Last_Modified_On</t>
  </si>
  <si>
    <t>North Carolina</t>
  </si>
  <si>
    <t>NCDL</t>
  </si>
  <si>
    <t>https://www.dea.gov/clan-lab</t>
  </si>
  <si>
    <t>State|County|City|Address|Date_of_incident</t>
  </si>
  <si>
    <t>ECA_ON</t>
  </si>
  <si>
    <t>https://ws.lioservices.lrc.gov.on.ca/arcgis1071a/rest/services/Access_Environment/Access_Environment_Map/MapServer/0/query</t>
  </si>
  <si>
    <t>OBJECTID|APPROVAL_NUMBER|PDF_LINK|BUSINESS_NAME|ADDRESS|MUNICIPALITY|POSTAL_CODE|APPROVAL_DATE|APPROVAL_TYPE|PROJECT_TYPE|STATUS|LATITUDE|LONGITUDE|DATASOURCE|REFRESH_DATE|MOE_DISTRICT|SWP_AREA_NAME|LINKSOURCE|geometry/x|geometry/y|PDF_URL|PDF_SITE_LOCATION|PDF_NAICS_Code</t>
  </si>
  <si>
    <t>Ontario</t>
  </si>
  <si>
    <t>RSC_ON</t>
  </si>
  <si>
    <t>https://www.lrcsde.lrc.gov.on.ca/BFISWebPublic/pub/searchFiledRsc_search</t>
  </si>
  <si>
    <t>RSC_ID|RA_#|RSC_Type|Assessment_Roll|Current_Property_Use|Intended_Property_Use|Filing_Owner|QP_Name|Ministry_District|Site_Municipality|Property_Municipal_Address|PIN|Filing_Date|RSC_PDF_LINK</t>
  </si>
  <si>
    <t>EBR_ON</t>
  </si>
  <si>
    <t>https://ero.ontario.ca/search</t>
  </si>
  <si>
    <t>ERO_Number|ERIS_Proponent_Name|ERIS_Proponent_Address|ERIS_Proponent_URL|Ministry_Reference_Number|Notice_Type|Act_1|Instrument_Type|Posted_By|Notice_Stage|Proposal_Posted|Comment_Period|Site_Address|Site_Location_Details|Site_Location_Map|Act_2|Section|Official_instrument_name|Decision_posted|Last_updated|Exception_posted|Summary</t>
  </si>
  <si>
    <t>WW_AR</t>
  </si>
  <si>
    <t>http://awwcc.publishpath.com/construction-reports</t>
  </si>
  <si>
    <t>Well_ID|Date_Completed|Owner_Name|Address|City|Well_Depth|Yield|Use_Type|Remarks|ERIS_Well_ID_URL|Contractor_Number|Contractor_Name|Driller_Number|Driller_Name|Pump_Installer_Number|Pump_Installer_Name|Date_Well_Completed|Well_Status|County|Fraction|Section|Township|Range|Longitude|Latitude</t>
  </si>
  <si>
    <t>Arkansas</t>
  </si>
  <si>
    <t>SPL_ME</t>
  </si>
  <si>
    <t>https://www.maine.gov/dep/spills/index.html</t>
  </si>
  <si>
    <t>Spill_Number|Town_Name|Subject_Spiller|Street_Location_of_Spill|Spill_Location_Name</t>
  </si>
  <si>
    <t>Maine</t>
  </si>
  <si>
    <t>AUTH_AB</t>
  </si>
  <si>
    <t>https://avw.alberta.ca/ApprovalViewer.aspx</t>
  </si>
  <si>
    <t>Short_Legal|Document_Type|Legal_Land_Location|Document_Title|Document_URL|ERIS_Result</t>
  </si>
  <si>
    <t>Alberta</t>
  </si>
  <si>
    <t>SRP_NJ</t>
  </si>
  <si>
    <t>https://www13.state.nj.us/DataMiner</t>
  </si>
  <si>
    <t>Site_ID|Site_Name|Address|County|Municpality|Zip_Code</t>
  </si>
  <si>
    <t>New Jersey</t>
  </si>
  <si>
    <t>GTCL_CA</t>
  </si>
  <si>
    <t>http://geotracker.waterboards.ca.gov/search</t>
  </si>
  <si>
    <t>FacilityID|SITE / FACILITY_NAME|SITE / FACILITY_TYPE|CLEANUP_STATUS|ADDRESS_(OR PARTIAL ADDRESS)|CITY|ZIP|COUNTY|Report_Link|Cleanup_Status_Detail|Project_Status|Cleanup_History_Link|FACILITY_TYPE|COMPOSTING_METHOD|POTENTIAL_CONTAMINANTS_OF_CONCERN|POTENTIAL_MEDIA_OF_CONCERN|File_Location|USER_DEFINED_BENEFICIAL_USE|DESIGNATED_BENEFICIAL_USE|DWR_Groundwater_Sub-Basin|CALWATER_WATERSHED_NAME|GROUNDWATER_MONITORING_FREQUENCY|Post_Closure_Site_Management_Requirement|Future_Land_Use_Reorted_At_Closure|Site_History|CLEANUP_OVERSIGHT_AGENCIES|CUF_Claim #|CUF_Priority_Assigned|CUF_Amount_Paid|WDE_Place_Type|WDR_File#|WDR_ORDER#|Project_Oversight_Agencies|ERIS_Timestamp</t>
  </si>
  <si>
    <t>SPL_NT_NU</t>
  </si>
  <si>
    <t>https://www.enr.gov.nt.ca/en/spills</t>
  </si>
  <si>
    <t>Spill|Occurance_Date_Time|Lead_Agency|Supporting_Agencies|Received_Method|Involved_Parties_Type|Potential_Spill|Known_Hazards|Spill_Region|Spill_Location|Spill_Location_Description|Geolocation|Land_Sea_Indicator|Spill_Source|Spill_Cause|Product_Spilled|Product_Spilled_Description|Spill_Quantity|Measurement|Area_of_Contamination|Land_Use_Permit_Number|Water_Use_Permit_Number|UN_Number|Describe_any_Assistance_Required|Additional_Information|Factors_Affecting_Spill_or_Recover|Reporting_Date_and_Time|Access_Denied|Spill_Url</t>
  </si>
  <si>
    <t>Nunavut</t>
  </si>
  <si>
    <t>UST_LA</t>
  </si>
  <si>
    <t>https://edms.deq.louisiana.gov/edmsv2/quick-search</t>
  </si>
  <si>
    <t>AI|Name|Physical_Address|Mailing_Address|Alternate_ID|Alternate_Names|AI_Type|Region|Parish|City</t>
  </si>
  <si>
    <t>Louisiana</t>
  </si>
  <si>
    <t>BFLD_NJ</t>
  </si>
  <si>
    <t>http://www.njbrownfieldsproperties.com/Search.aspx</t>
  </si>
  <si>
    <t>Link|Site#|Status|Name|Street|City|Zip|County|Description|Size_Range_Acres|Road_and_Hwy_Access|Airport_Access|Waterfront_Access|Rail_Station|Rail_miles_away|Location|Block|Lot|Coordinates|Brownfields_Site_Number|This_site_is_for|Assessed_Value|Site_Status|Planning_Area_Designation|PI(Program_Interest_Number)|OwnerType|Owner|Phone|Fax|Email|Authorized_Representative|Relation_to_Owner|Rep_Phone|Rep_Email|Municipal_Contact|MC_Phone|MC_Fax|MC_Email|Tax_certificate_held|Cost_of_annual_property_taxes|Tax_liens_in_effect|Other_liens_or_judgements_in_effect|Current_Zoning|Proposed_Zoning|Copy_of_title_insurance_policy|Development_plan_completed|Market_study_completed|current_operations|prior_operations/site_history|Property_size_in_acres|Property_size_in_range|Land_use_or_deed_restrictions|Easements|Number_of_Buildings|Public_water_available|Electric_available|Gas_available|Public_Sewer_available|Telephone_available|Cable_available|Fiber_optics_available|Closest_Major_Highways|Closest_Local_Highways|Closest_Rail_Line|Traffic_study_completed|Rail_Type|Road_access|Waterfront_Access|Public_transportation_access|Wetlands_present|Remediation_in_progress|Sensitive_ecosystems_or_habitats_present|Estimated_completion_of_Remediation|Endangered_species_present|Site_Investigation_(PA/SI)_completed|Historic_or_archaeological_site_present|NJ_Remedial_Investigation_(RI)_completed|Located_within_100_year_flood_plain|Remedial_Action_Workplan_(RAW)_completed|Located_within_500_year_flood_plain|Site_entered_in_State_Voluntary_Cleanup_Program|Copies_of_environmental_reports_available|Site_ever_involved_in_environmental_litigation|Site_is_on_the_following_list|Regulatory_sign-off_completed|Final_Comments</t>
  </si>
  <si>
    <t>UST_AST_WI</t>
  </si>
  <si>
    <t>https://mydatcp.wi.gov/Home/ServiceDetails/4a171523-04c7-e611-80f6-0050568c4f26?Key=Services_Group</t>
  </si>
  <si>
    <t>Facility_ID|Tank_ID|ERIS_Facility_Name|ERIS_Address1|ERIS_Address2|ERIS_CITY|County|Municipality|ERIS_State|Site_Anniversary_Date|Fire_Dept_ID|Dispenser_Has_Sumps|ERIS_Owner_Name|ERIS_Owner_Address1|ERIS_Owner_Address2|ERIS_Owner_City|ERIS_Owner_State|ERIS_Owner_Zip</t>
  </si>
  <si>
    <t>Wisconsin</t>
  </si>
  <si>
    <t>ECBF_PA</t>
  </si>
  <si>
    <t>https://www.ahs.dep.pa.gov/eFACTSWeb/criteria_facility.aspx</t>
  </si>
  <si>
    <t>Facility_ID|FACILITY_NAME|STATUS|ADDRESS1|ADDRESS2|ADDRESS3|ADDRESS4|ADDRESS5|ADDRESS6|CITY|STATE|COUNTY_NAME|MUNICIPALITY_NAME|ZIP_CODE|PROGRAM|Facility_URL</t>
  </si>
  <si>
    <t>Pennsylvania</t>
  </si>
  <si>
    <t>STCS_FL</t>
  </si>
  <si>
    <t>https://prodlamp.dep.state.fl.us/www_stcm/reports/Stcm02</t>
  </si>
  <si>
    <t>County|Facility_ID#|Name|ERIS_Name|ERIS_address_line_1|ERIS_address_line_2|ERIS_City|ERIS_State|ERIS_Zip|Contact|Phone|District|County|Type|Status|Latitude|ERIS_Lat_DD|ERIS_Lat_MM|ERIS_Lat_SS|Longitude|ERIS_Long_DD|ERIS_Long_MM|ERIS_Long_SS|LL_Method|Account_Owner</t>
  </si>
  <si>
    <t>Florida</t>
  </si>
  <si>
    <t>SHWS_HI</t>
  </si>
  <si>
    <t>https://eha-cloud.doh.hawaii.gov/iheer/#!/viewer</t>
  </si>
  <si>
    <t>Site_Name|Status|PRIORITY|IHEER_ID|LEAD_AGENCY|PROGRAM|ASSIGNED_RPM|LOCATION_DESCRIPTION|ADDRESS|COUNTY|ISLAND|Details_URL</t>
  </si>
  <si>
    <t>Hawaii</t>
  </si>
  <si>
    <t>CONV_QC</t>
  </si>
  <si>
    <t>https://www.registres.environnement.gouv.qc.ca/condamnations/recherche.asp</t>
  </si>
  <si>
    <t>Date_culpabilité|Municipalité_touchée|Région|Date_infraction|Numéro_constat|Nom_du_contrevenant|Adresse|Municipalité|Amende_imposée|Frais_de_poursuite|Loi_/_règlement|Loi_URL|Article|Nature_de_l'infraction|Remarques|Remarques_URL</t>
  </si>
  <si>
    <t>ENVS_CA</t>
  </si>
  <si>
    <t>http://www.envirostor.dtsc.ca.gov/public/</t>
  </si>
  <si>
    <t>SITE_/_FACILITY_NAME|ESTOR_/_EPA_ID|PROGRAM_TYPE|STATUS|ADDRESS_DESCRIPTION|CITY|ZIP|CALENVIROSCREEN_SCORE|COUNTY|Summary_Link|CLEANUP_STATUS|SITE_TYPE|NATIONAL_PRIORITIES_LIST|ACRES|APN|CLEANUP_OVERSIGHT_AGENCIES|SCHOOL_DISTRICT|ENVIROSTOR_ID|SITE_CODE|SPECIAL_PROGRAM|FUNDING|ASSEMBLY_DISTRICT|SENATE_DISTRICT|PAST_USE(S)_THAT_CAUSED_CONTAMINATION|POTENTIAL_CONTAMINANTS_OF_CONCERN|POTENTIAL_MEDIA_AFFECTED|Site_History|Program_Type|PERMIT_RENEWAL_LEAD|PUBLIC_PARTICIPATION_SPECIALIST|PROJECT_MANAGER|CENSUS_TRACT|OFFICE|SUPERVISOR</t>
  </si>
  <si>
    <t>CONV_BC</t>
  </si>
  <si>
    <t>https://nrced.gov.bc.ca/records</t>
  </si>
  <si>
    <t>Type|Issued_To|Issued_On|Summary|Issuing_Agency|Act|Regulation|Section_(Sub-Section)_(Paragraph)|Offence|Penalties|Description|Outcome_Description|Site/Project|Location_Description|Lat/Long|Documents|Documents_URL</t>
  </si>
  <si>
    <t>British Columbia</t>
  </si>
  <si>
    <t>UIC_TX</t>
  </si>
  <si>
    <t>https://www15.tceq.texas.gov/crpub/index.cfm?fuseaction=addnid.IdSearch</t>
  </si>
  <si>
    <t>RN_Number|Regulated_Entity_Name|Location|County|Program|ID|Type|Status|ERIS_RN_Number_URL|ERIS_ID_URL</t>
  </si>
  <si>
    <t>Texas</t>
  </si>
  <si>
    <t>IEPA_IL</t>
  </si>
  <si>
    <t>https://external.epa.illinois.gov/DocumentExplorer/Attributes</t>
  </si>
  <si>
    <t>Name|Address|City|State|Zip|Name_URL|County</t>
  </si>
  <si>
    <t>Illinois</t>
  </si>
  <si>
    <t>INST_NE</t>
  </si>
  <si>
    <t>http://deq.ne.gov/NDEQProg.nsf/ICTSView.xsp</t>
  </si>
  <si>
    <t>ERIS_ID|Facility_Name|Zip_Code|City|County|Geographic_Area|Address|Latitude|Longitude|Category|Media|Type|Text|Compliance_Reporting|Restrictions</t>
  </si>
  <si>
    <t>Nebraska</t>
  </si>
  <si>
    <t>SPL_IL</t>
  </si>
  <si>
    <t>https://public.iema.state.il.us/FOIAHazmatSearch/</t>
  </si>
  <si>
    <t>Incident_Number|Incident_Report_Date|Street_Address_of_Incident_Location|Incident_Location_City|Incident_Location_County|Entered_By|Date_Entered|Data_Input_Status|Leaking_Underground_Storage_Tank_(LUST)?|Caller|Caller_Represents|Hazmat_Incident_Type__HAZMAT|URL</t>
  </si>
  <si>
    <t>SPL_ND</t>
  </si>
  <si>
    <t xml:space="preserve">https://northdakota.hazconnect.com/ListIncidentPublic.aspx </t>
  </si>
  <si>
    <t>INCIDENT_ID|INCIDENT_TYPE|INCIDENT_DATE|COUNTY/TRIBE|ADDRESS|CONTAINED|DATE_REPORTED|CHEMICALS|SECTION|TOWNSHIP|RANGE|ADDRESS|LOCATION_DESCRIPTION|LATITUDE|LONGITUDE|ERIS_URL</t>
  </si>
  <si>
    <t>North Dakota</t>
  </si>
  <si>
    <t>SHWS_KS</t>
  </si>
  <si>
    <t>https://www.kdhe.ks.gov/770/Identified-Sites-List</t>
  </si>
  <si>
    <t>Link|Project_Code|Site_Status|Site_Name|CERCLIS_Number|Other_Names|Address|City|Zip_Code|County|River_Basin|Latitude|Longitude|Program_Name|Project_Manager|Contaminants|Environmental_Use_Control_In_Place|Site_Narrative</t>
  </si>
  <si>
    <t>Kansas</t>
  </si>
  <si>
    <t>NPDE_MS</t>
  </si>
  <si>
    <t>http://opc.deq.state.ms.us/search_ai_alt.aspx#grid</t>
  </si>
  <si>
    <t>MASTER_AI_ID|MASTER_AI_NAME|CITY|COUNTY|BASIN|PERMIT_NUMBER|PERMIT_TYPE</t>
  </si>
  <si>
    <t>Mississippi</t>
  </si>
  <si>
    <t>LCAP_WV</t>
  </si>
  <si>
    <t>https://dep.wv.gov/dlr/LCAP/Pages/default.aspx</t>
  </si>
  <si>
    <t>Site_Name|Site_Link|Permit_Number|Permittee|County|Location|Latitude|Longitude|Closure_Cap_Area|Cost_of_Closure|Number_of_Monitoring_Wells|Cap_Type|Maps_&amp;_Drawings/URL|Closure_Status</t>
  </si>
  <si>
    <t xml:space="preserve">West Virginia </t>
  </si>
  <si>
    <t>ALL_VT</t>
  </si>
  <si>
    <t>https://anrweb.vt.gov/DEC/ERT/GlobalSearch.aspx</t>
  </si>
  <si>
    <t>ID|Site_ID|Name|Address|Town|Site#|Facility_Name|Facility_Address|Town|County|Site_Use|DEC_Manager|Priority|Site_Status|Project_Status|Source_of_Contamination|Contaminant|Inst_Control|Site_Closure_Date|Brownfield_Status|Contaminants_of_Concern|DEC_Contact_Email_Address|Record_Last_Updated|Site_#|Name|Address|Town|Site_Use|DEC_Manager|Priority|Site_Status|Project_Status|Source_of_Contamination|Contaminant|Institutional_Control|Site_Closure_Date|DEC_Contact_Email_Address|Record_Last_Updated|Facility_ID|Name|Town|Pin#|Type_of_Facility|Applicant_Address|Applicant_Town|Applicant_State|Applicant_Zip|Primary_Contact|Primary_Phone|Cert_Type|Status|Staff_Contact|Facility_Name|Facility_ID|DEC_Pin#|Address|Town|Permit_Issued|Permit_Starts|Permit_Expires|Owner_Name|Operator_Name|Last_Inspected</t>
  </si>
  <si>
    <t>Vermont</t>
  </si>
  <si>
    <t>UST_IL</t>
  </si>
  <si>
    <t>http://webapps.sfm.illinois.gov/ustsearch/Search.aspx</t>
  </si>
  <si>
    <t>Facility_Number|Status|Facility_Name|Address|ERIS_Address|ERIS_City|ERIS_State|County|Property_Parcel|Facility_Type|Motor_Fuel_Type|Owner_Type|Green_Tag_Decal|Green_Tag_Issue_Date|Green_Tag_Expiration_Date|Motor_Fuel_Dispensing_Permit_Insepection_Date|Motor_Fuel_Dispensing_Permit_Expiration_Date</t>
  </si>
  <si>
    <t>SDN_CA</t>
  </si>
  <si>
    <t>https://oag.ca.gov/prop65/60-day-notice-search</t>
  </si>
  <si>
    <t>AG_Number|Notice_PDF_URL|Date_Filed|Noticing_Party|Plaintiff_Attorney|Alleged_Violator(s)|Chemicals|Source|Note|Complaint|Settlement|Judgment|Comments</t>
  </si>
  <si>
    <t>UST_OH</t>
  </si>
  <si>
    <t>https://apps.com.ohio.gov/fire/OTTER/Home/Index?ReturnUrl=%2ffire%2fOTTER%2fInquiry%2fInquiry</t>
  </si>
  <si>
    <t>Facility|Owner_Business_Name|Address|City|Zip|County|Date_Reported|Release_Number|Old_Incident_ID|Tank_Status|ERIS_Facility_URL|ERIS_Release_Number_URL</t>
  </si>
  <si>
    <t>Ohio</t>
  </si>
  <si>
    <t>SPL_HI</t>
  </si>
  <si>
    <t>https://eha-cloud.doh.hawaii.gov/iheer/api/incidents</t>
  </si>
  <si>
    <t>ID|Case_Number|Release_Name|Island_ID|Island_Name|County|County_Code|Location|City|State|Zip_Code|Tax_Map_Key|Reported_On|Caller_Is_Anonymous|Caller_Name|Caller_Phone|Is_Drill|Summary|Is_Report_Noteworthy|Primary_Media_Impacted|Water_body|Assigned_SOSC|Actual_Release_On|Release_Duration|Is_Fugitive_Dumping|Notified_Agencies|Response_Measure_Taken|NRC_Incident_Report_Number|Coordination_Needed|Is_Tier_Two_Facility|Is_RMP|Followup_Received_On|Is_Cost_Rovery|Invoice_To|Closed_On|Status|Status_Comment|Is_BC_State|Is_Notification_Valid|Affiliated_Organizations|Incident_Substances|BC_State_Source_Type|BC_State_Source|BC_State_Incident_Type|BC_State_Activity|BC_State_Cause_Type|BC_State_Cause|Created_On|Created_By|Updated_On|Updated_By</t>
  </si>
  <si>
    <t>DERN_DE</t>
  </si>
  <si>
    <t>https://apps.dnrec.state.de.us/derns/pub/RecentReleases.aspx</t>
  </si>
  <si>
    <t>ReleaseID|Release_DateTime|Extremely_Hazardous|Report_DateTime|Release_Location|FacilityID|Facility_Name|Facility_Address|Substance_Released|Release_Duration|Estimated_Quantity|Released_To|Additional_Information|Health_Risks|Medical_Attention|Precautions_Recommended|Public_Notified|Facility_Contact_Name|Facility_Contact_Phone|Facility_Contact_Email|Status|ERIS_URL</t>
  </si>
  <si>
    <t>Delaware</t>
  </si>
  <si>
    <t>UST_AK</t>
  </si>
  <si>
    <t>https://dec.alaska.gov/Applications/SPAR/PublicUST/USTSearch</t>
  </si>
  <si>
    <t>Site_Name|Location|Owner|Facility_Type|Facility_ID|Facility_Name|Facility_Address|Owner_ID|Owner_1|Owner_Address</t>
  </si>
  <si>
    <t>Alaska</t>
  </si>
  <si>
    <t>CRIM</t>
  </si>
  <si>
    <t>https://echo.epa.gov/facilities/enforcement-case-search</t>
  </si>
  <si>
    <t>Case_ID|Case_Link|Case_Name|Case_Category_Code|Case_Category|Civil/Criminal_Indicator|DoJ_Docket_Number|Primary_Case-Level_NAICS|Primary_Case-Level_SIC|Case_Status_Code|Case_Status|Primary_Law/Section|Filed/Issued_Date|Settlement_Date|Final_Order_Lodged|Enforcement_Action_Closed|Enforcement_Outcome|Federal_Penalty_Assessed_or_Agreed_To|SEP_Category|SEP_Amount|SEP_Description|Value_of_Complying_Actions|Number_of_Settlements|Cost_Recovery_Awarded|Fiscal_Year|Statute|Citation|Case_Summary|Case_Details</t>
  </si>
  <si>
    <t>LUST_MI</t>
  </si>
  <si>
    <t>https://www.egle.state.mi.us/RIDE/          </t>
  </si>
  <si>
    <t>Facility_ID|EPA_ID|Facility_Name|LUST_Name|Regulatory_Program|Full_Address|City|Contaminant_Class:</t>
  </si>
  <si>
    <t>Michigan</t>
  </si>
  <si>
    <t>CHMR_CA</t>
  </si>
  <si>
    <t>https://w3.calema.ca.gov/operational/malhaz.nsf/$defaultview</t>
  </si>
  <si>
    <t>Control_Number|Document_Title|Creation_Date|County|City|Agency|Spill_Site|Water|Type|doc_url</t>
  </si>
  <si>
    <t>MINE_MT</t>
  </si>
  <si>
    <t>http://data.mbmg.mtech.edu/3D/DataViewer.asp?Database=2&amp;focus=Menu&amp;getby=CNT&amp;</t>
  </si>
  <si>
    <t>AIM_Id|ERIS_AIM_ID|Name|Alternate_Name|District|County|Mineral_Resources_Data_System_ID|Abandoned_Mine_Lands_Initiative_ID|Mineral_Industry_Location_System_ID|Latitude|Longitude|Township|Range|Section|Quarter_Section|UTM_Northing|UTM_Easting|UTM_Zone|Average_Elevation|Elevation_Units|Land_Owner|250K_Quad|100K_Quad|24K_Quad|Property_Type</t>
  </si>
  <si>
    <t>Montana</t>
  </si>
  <si>
    <t>UST_SC</t>
  </si>
  <si>
    <t>http://www.scdhec.gov/Apps/Environment/USTRegistry/</t>
  </si>
  <si>
    <t>Permit|Facility|Address|City|County_Code|Num_Tanks|Search_County|Facility_Link|Business_Address|Zip_Parsed|County|Phone|Category|Last_Inspection|Tank_Owner_Business_Address|Tank_Owner_Phone|Land_Owner_Business_Address|Land_Owner_Phone|Operator_Business_Address|Operator_Phone|Billable|Abandoned|Other</t>
  </si>
  <si>
    <t>South Carolina</t>
  </si>
  <si>
    <t>RECY_MN</t>
  </si>
  <si>
    <t>https://webapp.pca.state.mn.us/recycling-markets/</t>
  </si>
  <si>
    <t>Facility_name|Address|City|State|Zip|Phone|Website|Business_type|Business_description|Material_accepted|Url</t>
  </si>
  <si>
    <t>Minnesota</t>
  </si>
  <si>
    <t>PES_BC</t>
  </si>
  <si>
    <t>http://a100.gov.bc.ca/pub/apex/f?p=210:1:193981660561:</t>
  </si>
  <si>
    <t>Registration_Number|Registration_Type|Business_Name|Category|Address|Region(S)_Of_Operation|TreatmentDescription|PesticidesTo_Be_Used|Expiry_Date|Provides_Service</t>
  </si>
  <si>
    <t>MEERTS_SPL_MO</t>
  </si>
  <si>
    <t>https://dnrservices.mo.gov/env/esp/meerts/search</t>
  </si>
  <si>
    <t>Incident_Number|Discovery_Date|Discovery_Time|Call_Date|Call_Time|Incident_Date|Incident_Time|Location|City|County|State|Regional_Office|Potential_Responsible_Party|Potential_Responsible_Party_Contact|Cause|Cause_Sub-Category|Property_Use|Property_Use_Sub-Category|Collection_Station|Latitude|Longitude|GPS_Method|UTM_Northing|UTM_Easting|UTM_Zone|UTM_EPE|Petroleum_Storage_Tank_Insurance_Fund|Household_Hazardous_Waste|Chemical_Pickup|Continuous_Release|Historic_Release|Hazardous_Substance_Declaration_Issued|Email|Issuer|Issue_Date|Issue_Time|Chemicals_associated_with_this_incident</t>
  </si>
  <si>
    <t>Missouri</t>
  </si>
  <si>
    <t>CFO_AB</t>
  </si>
  <si>
    <t>https://www.nrcb.ca/confined-feeding-operations/cfo-search</t>
  </si>
  <si>
    <t>Facility_Name|Operator_Name|Municipality|Region|Land_Location|Site_URL</t>
  </si>
  <si>
    <t>EPWN_AB</t>
  </si>
  <si>
    <t>https://avw.alberta.ca/PublicNoticesViewer.aspx?Click=ClearAndReturn</t>
  </si>
  <si>
    <t>Document_URL|App._Id|App._Name|Activity|Notice_Posted_On|Notice_Displayed_Until|Notice_Type|Location</t>
  </si>
  <si>
    <t>SPL_MO</t>
  </si>
  <si>
    <t>https://apps5.mo.gov/merlin/publicSearch.action</t>
  </si>
  <si>
    <t>Incident_Number|"Address| City| State| Zip| County"|Incident_Cause|Report_Date|Incident_Number_URL</t>
  </si>
  <si>
    <t>LEAD_MA</t>
  </si>
  <si>
    <t>https://eohhs.ehs.state.ma.us/leadsafehomes/default.aspx</t>
  </si>
  <si>
    <t>Street_#|StreetName|Community|City|Unit|Town|Address|Unit_1|Inspection_Date|Inspection_Type|Outcome|Inspected_By|Inspector_Licence#</t>
  </si>
  <si>
    <t>Massachusetts</t>
  </si>
  <si>
    <t>IAPP_NS</t>
  </si>
  <si>
    <t>https://novascotia.ca/nse/IA/</t>
  </si>
  <si>
    <t>Approval_Holder_Name|Site_Name|Street_Address|County|Community|PID|Expiry_Date|Approval_Number|Approval_Number_URL|Subcategory</t>
  </si>
  <si>
    <t>Nova Scotia</t>
  </si>
  <si>
    <t>BRRT_WI</t>
  </si>
  <si>
    <t>https://dnr.wi.gov/botw/BulkData.do</t>
  </si>
  <si>
    <t>site_id|detail_seq_no|act_code|activity_type|address|muni|zip|county|county_name|region|fid|activity_name|activity_number|activity_display_number|start_date|end_date|location_name|activity_comment|last_action|status_cd|status|pecfa_number|pecfa_occurrence_id|epa_id|activity_detail_address|risk_code|acres|acres_100|juris|npl_flag|dcom_db_tracked_flag|pecfa_eligible_flag|ast_flag|drycleaner_flag|co_contamination_flag|plss|geo_located_flag|co_flag|gis_area_point_flag|ll_lat_dd_amt|ll_long_dd_amt|derf_flag|offsite_impact_flag|row_impact_flag|wdot_flag|wdot_desc|wam_flag|rfr_flag|glc_flag|vple_coc_flag|sudz_flag|petrol_ust_flag|sediments_flag|pfas_flag</t>
  </si>
  <si>
    <t>VFC_IN</t>
  </si>
  <si>
    <t>https://vfc.idem.in.gov/DocumentSearch.aspx</t>
  </si>
  <si>
    <t>AI_ID|AI_Name|Location|City|County|Postal|DOC#|Doc_Link|Date|Program|Document_Type|Size|AI_D|Info_Link</t>
  </si>
  <si>
    <t>Indiana</t>
  </si>
  <si>
    <t>ESAR_AB</t>
  </si>
  <si>
    <t>http://www.esar.alberta.ca/ESARmain.aspx</t>
  </si>
  <si>
    <t>ESRD_File|Operation_Name|File_Classification|LLD|Documents_in_File|Linc|10TM_Point_Coordinates|NAME|ADDR_ORIG|EXTRACTED_Address|EXTRACTED_CITY|ESAID|MAP_LINK|DOC_NAME|DOC_DESC|DOC_TYPE|DOC_SIZE|DOC_DATE|EXTRACTED_DOWNLOAD_DATE</t>
  </si>
  <si>
    <t>WW_TX</t>
  </si>
  <si>
    <t xml:space="preserve">https://gisweb.tceq.texas.gov/waterwellpublicAGO/search.html?type=LR&amp;wellCounty=Anderson </t>
  </si>
  <si>
    <t>No|Grid_Num|PDF_Link|County|WW_ID|Report_Box_Type</t>
  </si>
  <si>
    <t>HLUR_CA</t>
  </si>
  <si>
    <t>https://dtsc.ca.gov/hwmp-land-use-restrictions-by-senate-district/</t>
  </si>
  <si>
    <t>FACILITY_NAME|FACILITY_URL|ADDRSS|CITY|ZIP|COUNTY|DTSC_REGION|ASSEMBLY_DISTRICT|SENATE_DISTRICT|TYPE|FACILITY_HISTORY|DATE|STATUTORY/REGULARTORY_AUTHORITY|Date_URL|DATE_1|STATUTORY/REGULARTORY_AUTHORITY_1|Date_URL_1</t>
  </si>
  <si>
    <t>NOV_DE</t>
  </si>
  <si>
    <t>http://apps.dnrec.state.de.us/Violations/ViolationsSearch.aspx</t>
  </si>
  <si>
    <t>Enforcement_Number|Program|Served_Date|Violator|Address|City/State/Zip|DNREC_Contact|Phone|Location_Address|City/State/Zip_1|Site_Business|Date_Discovered|Violation_Date|Corrected|Date_Corrected|Nature_of_Violation|Enviromental_Impact|Impact_Description</t>
  </si>
  <si>
    <t>OGSH_ND</t>
  </si>
  <si>
    <t>https://deq.nd.gov/FOIA/Spills/defaultOGarc.aspx/</t>
  </si>
  <si>
    <t>Incident_ID|Incident_ID_URL|Well_File_#:</t>
  </si>
  <si>
    <t>ORD_AB</t>
  </si>
  <si>
    <t>https://open.alberta.ca/publications</t>
  </si>
  <si>
    <t>Enforcement_Name|Updated|Description|Enforcement_Name URL|SPATIAL_COVERAGE|SPATIAL_COVERAGE2</t>
  </si>
  <si>
    <t>ECTS_FL</t>
  </si>
  <si>
    <t>https://ecmrer.miamidade.gov/hpi/search</t>
  </si>
  <si>
    <t>Folio_(Exclude_Dashes)|Case_Number|Facility_Name|Document_Type|ERIS_Document_Type_URL|Date|House_Number|Street_Direction|Street_Name|Street_Type|Unit #|Zip_Code|Description</t>
  </si>
  <si>
    <t>AST_IN</t>
  </si>
  <si>
    <t>https://secure.in.gov/dhs/fire-and-building-safety/building-plan-review/project-activity-includes-real-time-plan-submissions-and-releases/</t>
  </si>
  <si>
    <t>Project_Number|County|Facility_Use|Project_Details|Owner_Details|Submitter</t>
  </si>
  <si>
    <t>www.mattwillsellit.com</t>
  </si>
  <si>
    <t>Project Name|Builders|Project Status|Approx Occupancy Date|Launch Date|Address|City|Main Intersection|Area|Municipality|Neighborhood|Architect|Property Type|Property Style|Location Highlights|Welcome to Burlington|Building Size|Number Of Units|Description|Location|INTRODUCING THE CONDOMINIUMS AT SQUARE ONE DISTRICT|OVERVIEW|AMENITIES|Nearby Parks|Transit Times|We have made our mark and now the time has come to make yours.|Located at Queen Street. E. and Leslie Street| The Poet Condominiums is Toronto’s most exciting new urban residence.|A limited release of prestige residences at Yonge &amp; Eglinton.|FEATURES|Latitude|Longitude|Image URL|Detail Url|Image reference</t>
  </si>
  <si>
    <t>HEER_HI</t>
  </si>
  <si>
    <t>ERIS_SITE_ID|PRIORITY|LEAD AGENCY|PROGRAM|ASSIGNED RPM|LOCATION DESCRIPTION|ADDRESS|STREET|CITY|ZIP CODE|COUNTY|ISLAND|SITE ID|Location URL|ALSO KNOWN AS|Aliases URL|ERIS_DETAILS_URL</t>
  </si>
  <si>
    <t>PBL_AB</t>
  </si>
  <si>
    <t>http://alta.registries.gov.ab.ca/SpinII/searchtitleradius.aspx</t>
  </si>
  <si>
    <t>MER|RGE|TWP|Title Number|Type|LINC Number|Short Legal|Rights|Registration Date|Change/Cancel Date|View_on_Map_URL|ERIS_X|ERIS_Y</t>
  </si>
  <si>
    <t>EDGAR</t>
  </si>
  <si>
    <t>https://www.sec.gov/edgar/searchedgar/companysearch.html</t>
  </si>
  <si>
    <t>CIK#|Company_Name|CIK#|SIC_Code/Name|State_Location|State_of_Inc.|Fiscal_Year_End|Assistant_Director_Office|Formerly|Business_Address|Business_City|Business_State|Business_Zip|Business_Phone#|Mailing_Address|Mailling_City|Mailing_State|Mailing_Zip|</t>
  </si>
  <si>
    <t xml:space="preserve">US </t>
  </si>
  <si>
    <t>LUST_OR</t>
  </si>
  <si>
    <t>http://www.deq.state.or.us/lq/tanks/lust/LustPublicLookup.asp</t>
  </si>
  <si>
    <t>LOG NUMBER|LOG NUMBER Link|FAC ID|SITE NAME|ADDRESS|CITY|ZIP|COUNTY|Summary Information|Site Name|Received Date|Address 1|Address2|Status|Tank Type|County|File Status|Site Type|UST Facility Id|Project Manager|Cause of Release|Source of Release|Discovery Method|Media Effected|Contaminants Released|Delineate Soil|Delineate Ground Water|Release Stopped Date|Cleanup Start Date|Cleanup End Date</t>
  </si>
  <si>
    <t>Oregon</t>
  </si>
  <si>
    <t>REW</t>
  </si>
  <si>
    <t>https://housesigma.com/web/map?days=360&amp;house_type=%5B%22all%22%5D&amp;list_type=3&amp;bedroom_range=%5B%220%22%5D&amp;bathroom_min=0&amp;garage_min=0&amp;price_min=0&amp;price_max=4500000</t>
  </si>
  <si>
    <t>AERD_AB</t>
  </si>
  <si>
    <t>https://aer.ca/search-pod</t>
  </si>
  <si>
    <t>Application|Company|Decision Type|Activity|Affected Locations|Company Contact|Supporting Documents|Application URL</t>
  </si>
  <si>
    <t>GBUD</t>
  </si>
  <si>
    <t>https://www.gasbuddy.com/Station/</t>
  </si>
  <si>
    <t>Gas_Station_Name|Gas_Station_Street_Address|City|Province/State|Zip|Country|Telephone|Latitude|Longitude|Url</t>
  </si>
  <si>
    <t>PTH</t>
  </si>
  <si>
    <t>https://www.point2homes.com/CA/Real-Estate-Maps/States.html</t>
  </si>
  <si>
    <t>NAPL</t>
  </si>
  <si>
    <t>https://www.eodms-sgdot.nrcan-rncan.gc.ca/index-en.html</t>
  </si>
  <si>
    <t>Altitude|Archive_Visibility_Start_Date|Area|ASL|Beam|Buyer_Id|Camera_Filter|Camera_Name/Number|Client_Order_Item_Number|Client_Order_Number|Client_Project_Name|Delivery_Date|End_Date|EULA_Url|Film_Size|Film_Type|Focal_Length_(mm)|Frame_End|Frame_Start|Geographical_Area|Incidence_Angle_(High)|Incidence_Angle_(Low)|Lens_Name/Number|Line_Number|Negative_Height|Negative_Width|NTS_Map|Order_Key|Original_Negative_Available|Overlap|Photo_Number|Position|Preview_Available|Price|Processing_Date|Processing_Level|Processor_Name|Processor_Version|Product_Datum|Product_Ellipsoid|Product_Format|Product_Id|Product_Map_Projection|Product_Map_Zone|Product_Orientation|Product_Type|Public_Good|Roll_Number|Scale|Sensor|Sensor_Folder|Sensor_Id|Sensor_Mode|Sequence_Id|SIP_Size_(MB)|Spatial_Resolution|Start_Date|Supplier_Order_Item_Number|Supplier_Order_Number|Title|Viewing_Angle|GE_North|GE_South|GE_East|GE_West|Full_Meta_Data_URL|Thumbview_Image_Url|Search_Start_date|Search_End_date</t>
  </si>
  <si>
    <t>www.vancouvernewcondos.com</t>
  </si>
  <si>
    <t>ENFO_DE</t>
  </si>
  <si>
    <t>https://den.dnrec.delaware.gov/Search/EnforcementSearch.aspx</t>
  </si>
  <si>
    <t>Public_Number|Facility|Street_Address|Facility_Type|Name|Type|Start_Date|Served_Date|Status|Agency_Name|Comments|Program</t>
  </si>
  <si>
    <t>CONV_AB</t>
  </si>
  <si>
    <t>OGW_OK</t>
  </si>
  <si>
    <t>https://wellbrowse.occ.ok.gov/</t>
  </si>
  <si>
    <t>ERIS_Hole_Type|API|Operator_#|Well_Name|Well_#|Well_Type|Status|SEC|TWP|RNG|M|Hole|QUARTERS1|QUARTERS2|QUARTERS3|QUARTERS4|API_Number|Operator_Name|Well_Name1|County|OG_Well_Status|Effective_Date |Operator_No|Well_No|Code|Class|Section|Township|Range|Meridian |QRT1|QRT2|QRT3|QRT4|Surface_Footages1|Surface_Footages2|Surface_Footages3|Surface_Footages4|Lattitude|Longitude|Dist|Elevation</t>
  </si>
  <si>
    <t>Oklahoma</t>
  </si>
  <si>
    <t>UST_AZ</t>
  </si>
  <si>
    <t>https://legacy.azdeq.gov/databases/ustsearch_drupal.html</t>
  </si>
  <si>
    <t>Facility_ID|Facility_Name|AddressOrig|AddressOrig_Spaces|Address_Parsed|City_Parsed|State_Parsed|ZIP_Parsed|Facility_County|Owner_Name|Tank_ID|Tank_Latitude|Tank_Longitude|Tank_Closure_Type|Tank_Closure_Date</t>
  </si>
  <si>
    <t>Arizona</t>
  </si>
  <si>
    <t>LUST_AZ</t>
  </si>
  <si>
    <t>https://legacy.azdeq.gov/databases/lustsearch_drupal.html</t>
  </si>
  <si>
    <t>Facility_ID|Leak_ID|Priority_Level|Facility_Name|Address_Orig|Address_Orig_Spaces|Address_Parsed|City_Parsed|State_Parsed|ZIP_Parsed|Facility_County|Release_Status|Release_Reported_Date|Release_Closure_Date</t>
  </si>
  <si>
    <t>SWMC_TN</t>
  </si>
  <si>
    <t>https://dataviewers.tdec.tn.gov/dataviewers/f?p=19035:34250</t>
  </si>
  <si>
    <t>Complaint_Number|Division|Date_Received|How_Received|Concerning|Concerning(Other)|Assigned_Date|Site_ID|Facility_ID</t>
  </si>
  <si>
    <t xml:space="preserve"> Tennessee</t>
  </si>
  <si>
    <t>WELL_NJ</t>
  </si>
  <si>
    <t>https://njems.nj.gov/DataMiner</t>
  </si>
  <si>
    <t>County|Download_Document|Download_Document_URL|Permit_Number|Well_Use|Potentially_Potable|Type|Date_Permitted/_Drilled/Sealed|Physical_Address|Municipality|Block|Lot|Location_Method|Easting_(X)|Northing_(Y)|Depth_(ft)|Cap_(gal/_min)</t>
  </si>
  <si>
    <t>NewJersey</t>
  </si>
  <si>
    <t>AUL_AZUR_AZ</t>
  </si>
  <si>
    <t>https://legacy.azdeq.gov/databases/deursearch_drupal.html</t>
  </si>
  <si>
    <t>Remediation_ID_Number|Type|Program|Name|Address_orig|address1|address2|address3|city|state|zip|Remediation_Start_Date|Remediation_End_Date|Remediation_Level_Achieved|DEUR_Record_Date|DEUR_Release_Date_Recorded|WPD_Director's_Approval_Date|VEMUR_Record_Date|Program_File_Number|Map_(Valid_for_DEUR_type_only)|Standard_Types|Contaminants|ConcentrationMg/Kg|DepthFt</t>
  </si>
  <si>
    <t>WW_OK</t>
  </si>
  <si>
    <t>http://www.owrb.ok.gov/wd/search/search.php</t>
  </si>
  <si>
    <t>Well_ID|Quarters|Section|Township|Range|Latitude|Longitude|Date_collected|Collection_Method|County|Variance_Request_No|Well_Owner|Phone|Owner_Address/City/State|Zip|Finding_Location|Well_Name|Water_Rights#|Type_of_Work|Use_of_Well|Date_Well_or_Boring_Was_Completed|Number_of_wells|Hole_Diameter(inches)|Hole_Depth(ft)|Surface_Pipe_Material|Surface_Pipe_Diameter(inches)|Surface_Pipe_From_(ft)|Surface_Pipe_To_(ft)|Filter_Pack_Material|Type_of_Surface_Seal|Surface_Seal_Interval_From_(ft)|Surface_Seal_Interval_To_(ft)|Type_of_Annular_Seal|Annular_Seal_Interval:_From_(ft)|Annular_Seal_Interval:_To_(ft)|Filter_Pack_Seal_Material|Filter_Pack_Seal_Interval:_From_(ft)|Filter_Pack_Seal_Interval:_To_(ft)|TYPE_OF_COMPLETION|Depth_to_water_at_time_of_drilling_(ft)|Estimated_yield_of_well_(gpm)|First_water_zone_(ft)|disinfected_after_completion_of_work|potential_sources_of_pollution_in_300ft|Distance_of_Well_from_possible_source|Type_of_possible_source|Date_Well_or_Boring_Was_Plugged|Total_Depth_of_well_being_plugged|Was_the_well_contaminated|was_the_casing_removed_or_perforated|Was_the_grout_tremied|Backfilled_with|Backfilled_from_(ft)|Backfilled_to_(ft)|Grouted_with|Grouted_from_(ft)|Grouted_to_(ft)|Grouted_with_2|Grouted_from_(ft)_2|Grouted_to_(ft)_2|Firm_Name|D/PC_No|Operator_Name|OP_No|Date|Comments|Plugged</t>
  </si>
  <si>
    <t>NST2_NY</t>
  </si>
  <si>
    <t>https://apex5.nassaucountyny.gov/ords/f?p=118:107</t>
  </si>
  <si>
    <t>Facility_Number|Facility_Status|Facility_Name|Facility_Address|Facility_City|Facility_State|Facility_Zip|Facility_Owner_Name|Facility_Owner_Address|Facility_Owner_City|Facility_Owner_State|Facility_Owner_Zip|Property_Owner_Name|Property_Owner_Address|Property_Owner_City|Property_Owner_State|Property_Owner_Zip|Next_Inspection_Due|Last_Complete_Inspection|Inspection_Result|Tank_Number|Tank_Location|Tank_Status|Tank_Chemical|Tank_Capacity|Tank_In_Service_Date|Tank_Out_Of_Service_Date|Tank_Abandoned/Removed_On|Tank_Registration_Permit_End_Date</t>
  </si>
  <si>
    <t>Newyork</t>
  </si>
  <si>
    <t>GOWN_SK</t>
  </si>
  <si>
    <t>https://www.wsask.ca/water-info/ground-water/observation-well-network/</t>
  </si>
  <si>
    <t>ERIS_Site_ID|Project_Name|Location|Info_Link|Observation_well_Name|Description</t>
  </si>
  <si>
    <t>Saskatchewan</t>
  </si>
  <si>
    <t>SPL_CT_HAZCONNECT</t>
  </si>
  <si>
    <t>https://connecticut.hazconnect.com/listincidentpublic.aspx</t>
  </si>
  <si>
    <t xml:space="preserve">Incident_ID|URL|Incident_Status|Incident_Date|Incident_Type|Incident_Subtype|Incident_Description|Source_Type|Source_Subtype|Street_Address|City/Town|Chemicals
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</si>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</sst>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14" fontId="0" fillId="0" borderId="1" xfId="0" applyNumberForma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.alberta.ca/publications" TargetMode="External"/><Relationship Id="rId2" Type="http://schemas.openxmlformats.org/officeDocument/2006/relationships/hyperlink" Target="https://deq.nd.gov/FOIA/Spills/defaultOGarc.aspx/" TargetMode="External"/><Relationship Id="rId1" Type="http://schemas.openxmlformats.org/officeDocument/2006/relationships/hyperlink" Target="https://ws.lioservices.lrc.gov.on.ca/arcgis1071a/rest/services/Access_Environment/Access_Environment_Map/MapServer/0/query" TargetMode="External"/><Relationship Id="rId5" Type="http://schemas.openxmlformats.org/officeDocument/2006/relationships/hyperlink" Target="http://apps.dnrec.state.de.us/Violations/ViolationsSearch.aspx" TargetMode="External"/><Relationship Id="rId4" Type="http://schemas.openxmlformats.org/officeDocument/2006/relationships/hyperlink" Target="https://dtsc.ca.gov/hwmp-land-use-restrictions-by-senate-distric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"/>
  <sheetViews>
    <sheetView showGridLines="0" tabSelected="1" workbookViewId="0"/>
  </sheetViews>
  <sheetFormatPr defaultColWidth="9.109375" defaultRowHeight="15" customHeight="1" x14ac:dyDescent="0.3"/>
  <cols>
    <col min="1" max="1" width="28.21875" style="10" bestFit="1" customWidth="1"/>
    <col min="2" max="2" width="20.88671875" style="10" bestFit="1" customWidth="1"/>
    <col min="3" max="3" width="63.21875" style="16" customWidth="1"/>
    <col min="4" max="4" width="7.77734375" style="10" bestFit="1" customWidth="1"/>
    <col min="5" max="5" width="14.33203125" style="20" bestFit="1" customWidth="1"/>
    <col min="6" max="6" width="63.21875" style="16" customWidth="1"/>
    <col min="7" max="16384" width="9.109375" style="9"/>
  </cols>
  <sheetData>
    <row r="1" spans="1:6" ht="15" customHeight="1" x14ac:dyDescent="0.3">
      <c r="A1" s="1" t="s">
        <v>0</v>
      </c>
      <c r="B1" s="1" t="s">
        <v>1</v>
      </c>
      <c r="C1" s="12" t="s">
        <v>2</v>
      </c>
      <c r="D1" s="1" t="s">
        <v>4</v>
      </c>
      <c r="E1" s="2" t="s">
        <v>5</v>
      </c>
      <c r="F1" s="13" t="s">
        <v>3</v>
      </c>
    </row>
    <row r="2" spans="1:6" ht="15" customHeight="1" x14ac:dyDescent="0.3">
      <c r="A2" s="3" t="s">
        <v>6</v>
      </c>
      <c r="B2" s="4">
        <f>56216+64+62879+64+10474</f>
        <v>129697</v>
      </c>
      <c r="C2" s="14" t="s">
        <v>7</v>
      </c>
      <c r="D2" s="4" t="s">
        <v>9</v>
      </c>
      <c r="E2" s="17" t="s">
        <v>10</v>
      </c>
      <c r="F2" s="15" t="s">
        <v>8</v>
      </c>
    </row>
    <row r="3" spans="1:6" ht="15" customHeight="1" x14ac:dyDescent="0.3">
      <c r="A3" s="3" t="s">
        <v>11</v>
      </c>
      <c r="B3" s="4">
        <v>6661</v>
      </c>
      <c r="C3" s="14" t="s">
        <v>12</v>
      </c>
      <c r="D3" s="4"/>
      <c r="E3" s="17"/>
      <c r="F3" s="15" t="s">
        <v>13</v>
      </c>
    </row>
    <row r="4" spans="1:6" ht="15" customHeight="1" x14ac:dyDescent="0.3">
      <c r="A4" s="4" t="s">
        <v>14</v>
      </c>
      <c r="B4" s="4">
        <v>422</v>
      </c>
      <c r="C4" s="14" t="s">
        <v>15</v>
      </c>
      <c r="D4" s="4" t="s">
        <v>17</v>
      </c>
      <c r="E4" s="17" t="s">
        <v>18</v>
      </c>
      <c r="F4" s="15" t="s">
        <v>16</v>
      </c>
    </row>
    <row r="5" spans="1:6" ht="15" customHeight="1" x14ac:dyDescent="0.3">
      <c r="A5" s="4" t="s">
        <v>19</v>
      </c>
      <c r="B5" s="4">
        <f>5345+14496</f>
        <v>19841</v>
      </c>
      <c r="C5" s="14" t="s">
        <v>20</v>
      </c>
      <c r="D5" s="4" t="s">
        <v>17</v>
      </c>
      <c r="E5" s="17" t="s">
        <v>22</v>
      </c>
      <c r="F5" s="15" t="s">
        <v>21</v>
      </c>
    </row>
    <row r="6" spans="1:6" ht="15" customHeight="1" x14ac:dyDescent="0.3">
      <c r="A6" s="4" t="s">
        <v>23</v>
      </c>
      <c r="B6" s="4">
        <f>481+4399</f>
        <v>4880</v>
      </c>
      <c r="C6" s="14" t="s">
        <v>24</v>
      </c>
      <c r="D6" s="4" t="s">
        <v>17</v>
      </c>
      <c r="E6" s="17" t="s">
        <v>18</v>
      </c>
      <c r="F6" s="15" t="s">
        <v>25</v>
      </c>
    </row>
    <row r="7" spans="1:6" ht="15" customHeight="1" x14ac:dyDescent="0.3">
      <c r="A7" s="3" t="s">
        <v>26</v>
      </c>
      <c r="B7" s="3">
        <v>711</v>
      </c>
      <c r="C7" s="14" t="s">
        <v>27</v>
      </c>
      <c r="D7" s="3" t="s">
        <v>17</v>
      </c>
      <c r="E7" s="11" t="s">
        <v>29</v>
      </c>
      <c r="F7" s="15" t="s">
        <v>28</v>
      </c>
    </row>
    <row r="8" spans="1:6" ht="15" customHeight="1" x14ac:dyDescent="0.3">
      <c r="A8" s="6" t="s">
        <v>30</v>
      </c>
      <c r="B8" s="6">
        <v>27435</v>
      </c>
      <c r="C8" s="14" t="s">
        <v>31</v>
      </c>
      <c r="D8" s="6"/>
      <c r="E8" s="18"/>
      <c r="F8" s="15" t="s">
        <v>32</v>
      </c>
    </row>
    <row r="9" spans="1:6" ht="15" customHeight="1" x14ac:dyDescent="0.3">
      <c r="A9" s="4" t="s">
        <v>33</v>
      </c>
      <c r="B9" s="4">
        <v>918</v>
      </c>
      <c r="C9" s="14" t="s">
        <v>34</v>
      </c>
      <c r="D9" s="4" t="s">
        <v>9</v>
      </c>
      <c r="E9" s="17" t="s">
        <v>36</v>
      </c>
      <c r="F9" s="15" t="s">
        <v>35</v>
      </c>
    </row>
    <row r="10" spans="1:6" ht="15" customHeight="1" x14ac:dyDescent="0.3">
      <c r="A10" s="3" t="s">
        <v>37</v>
      </c>
      <c r="B10" s="4">
        <v>4357</v>
      </c>
      <c r="C10" s="14" t="s">
        <v>38</v>
      </c>
      <c r="D10" s="4" t="s">
        <v>9</v>
      </c>
      <c r="E10" s="17" t="s">
        <v>36</v>
      </c>
      <c r="F10" s="15" t="s">
        <v>39</v>
      </c>
    </row>
    <row r="11" spans="1:6" ht="15" customHeight="1" x14ac:dyDescent="0.3">
      <c r="A11" s="7" t="s">
        <v>40</v>
      </c>
      <c r="B11" s="3">
        <v>312</v>
      </c>
      <c r="C11" s="15" t="s">
        <v>41</v>
      </c>
      <c r="D11" s="3" t="s">
        <v>9</v>
      </c>
      <c r="E11" s="11" t="s">
        <v>36</v>
      </c>
      <c r="F11" s="15" t="s">
        <v>42</v>
      </c>
    </row>
    <row r="12" spans="1:6" ht="15" customHeight="1" x14ac:dyDescent="0.3">
      <c r="A12" s="3" t="s">
        <v>43</v>
      </c>
      <c r="B12" s="4">
        <v>88381</v>
      </c>
      <c r="C12" s="14" t="s">
        <v>44</v>
      </c>
      <c r="D12" s="4" t="s">
        <v>17</v>
      </c>
      <c r="E12" s="17" t="s">
        <v>46</v>
      </c>
      <c r="F12" s="15" t="s">
        <v>45</v>
      </c>
    </row>
    <row r="13" spans="1:6" ht="15" customHeight="1" x14ac:dyDescent="0.3">
      <c r="A13" s="4" t="s">
        <v>47</v>
      </c>
      <c r="B13" s="4">
        <v>91471</v>
      </c>
      <c r="C13" s="14" t="s">
        <v>48</v>
      </c>
      <c r="D13" s="4" t="s">
        <v>17</v>
      </c>
      <c r="E13" s="17" t="s">
        <v>50</v>
      </c>
      <c r="F13" s="15" t="s">
        <v>49</v>
      </c>
    </row>
    <row r="14" spans="1:6" ht="15" customHeight="1" x14ac:dyDescent="0.3">
      <c r="A14" s="3" t="s">
        <v>51</v>
      </c>
      <c r="B14" s="4">
        <v>879136</v>
      </c>
      <c r="C14" s="14" t="s">
        <v>52</v>
      </c>
      <c r="D14" s="4" t="s">
        <v>9</v>
      </c>
      <c r="E14" s="17" t="s">
        <v>54</v>
      </c>
      <c r="F14" s="15" t="s">
        <v>53</v>
      </c>
    </row>
    <row r="15" spans="1:6" ht="15" customHeight="1" x14ac:dyDescent="0.3">
      <c r="A15" s="3" t="s">
        <v>55</v>
      </c>
      <c r="B15" s="4">
        <v>535313</v>
      </c>
      <c r="C15" s="14" t="s">
        <v>56</v>
      </c>
      <c r="D15" s="4" t="s">
        <v>17</v>
      </c>
      <c r="E15" s="17" t="s">
        <v>58</v>
      </c>
      <c r="F15" s="15" t="s">
        <v>57</v>
      </c>
    </row>
    <row r="16" spans="1:6" ht="15" customHeight="1" x14ac:dyDescent="0.3">
      <c r="A16" s="7" t="s">
        <v>59</v>
      </c>
      <c r="B16" s="6">
        <v>76441</v>
      </c>
      <c r="C16" s="14" t="s">
        <v>60</v>
      </c>
      <c r="D16" s="6" t="s">
        <v>17</v>
      </c>
      <c r="E16" s="18" t="s">
        <v>18</v>
      </c>
      <c r="F16" s="15" t="s">
        <v>61</v>
      </c>
    </row>
    <row r="17" spans="1:6" ht="15" customHeight="1" x14ac:dyDescent="0.3">
      <c r="A17" s="3" t="s">
        <v>62</v>
      </c>
      <c r="B17" s="8">
        <v>15350</v>
      </c>
      <c r="C17" s="14" t="s">
        <v>63</v>
      </c>
      <c r="D17" s="8" t="s">
        <v>9</v>
      </c>
      <c r="E17" s="19" t="s">
        <v>65</v>
      </c>
      <c r="F17" s="15" t="s">
        <v>64</v>
      </c>
    </row>
    <row r="18" spans="1:6" ht="15" customHeight="1" x14ac:dyDescent="0.3">
      <c r="A18" s="4" t="s">
        <v>66</v>
      </c>
      <c r="B18" s="4">
        <v>200869</v>
      </c>
      <c r="C18" s="14" t="s">
        <v>67</v>
      </c>
      <c r="D18" s="4" t="s">
        <v>17</v>
      </c>
      <c r="E18" s="17" t="s">
        <v>69</v>
      </c>
      <c r="F18" s="15" t="s">
        <v>68</v>
      </c>
    </row>
    <row r="19" spans="1:6" ht="15" customHeight="1" x14ac:dyDescent="0.3">
      <c r="A19" s="3" t="s">
        <v>70</v>
      </c>
      <c r="B19" s="4">
        <v>9657</v>
      </c>
      <c r="C19" s="14" t="s">
        <v>71</v>
      </c>
      <c r="D19" s="4" t="s">
        <v>17</v>
      </c>
      <c r="E19" s="17" t="s">
        <v>58</v>
      </c>
      <c r="F19" s="15" t="s">
        <v>72</v>
      </c>
    </row>
    <row r="20" spans="1:6" ht="15" customHeight="1" x14ac:dyDescent="0.3">
      <c r="A20" s="7" t="s">
        <v>73</v>
      </c>
      <c r="B20" s="7">
        <v>228938</v>
      </c>
      <c r="C20" s="14" t="s">
        <v>74</v>
      </c>
      <c r="D20" s="7" t="s">
        <v>17</v>
      </c>
      <c r="E20" s="5" t="s">
        <v>76</v>
      </c>
      <c r="F20" s="15" t="s">
        <v>75</v>
      </c>
    </row>
    <row r="21" spans="1:6" ht="15" customHeight="1" x14ac:dyDescent="0.3">
      <c r="A21" s="3" t="s">
        <v>77</v>
      </c>
      <c r="B21" s="4">
        <v>123113</v>
      </c>
      <c r="C21" s="14" t="s">
        <v>78</v>
      </c>
      <c r="D21" s="4" t="s">
        <v>17</v>
      </c>
      <c r="E21" s="17" t="s">
        <v>80</v>
      </c>
      <c r="F21" s="15" t="s">
        <v>79</v>
      </c>
    </row>
    <row r="22" spans="1:6" ht="15" customHeight="1" x14ac:dyDescent="0.3">
      <c r="A22" s="3" t="s">
        <v>81</v>
      </c>
      <c r="B22" s="3">
        <v>70688</v>
      </c>
      <c r="C22" s="14" t="s">
        <v>82</v>
      </c>
      <c r="D22" s="3" t="s">
        <v>17</v>
      </c>
      <c r="E22" s="11" t="s">
        <v>84</v>
      </c>
      <c r="F22" s="15" t="s">
        <v>83</v>
      </c>
    </row>
    <row r="23" spans="1:6" ht="15" customHeight="1" x14ac:dyDescent="0.3">
      <c r="A23" s="7" t="s">
        <v>85</v>
      </c>
      <c r="B23" s="6">
        <v>2429</v>
      </c>
      <c r="C23" s="14" t="s">
        <v>86</v>
      </c>
      <c r="D23" s="6" t="s">
        <v>17</v>
      </c>
      <c r="E23" s="18" t="s">
        <v>88</v>
      </c>
      <c r="F23" s="15" t="s">
        <v>87</v>
      </c>
    </row>
    <row r="24" spans="1:6" ht="15" customHeight="1" x14ac:dyDescent="0.3">
      <c r="A24" s="4" t="s">
        <v>89</v>
      </c>
      <c r="B24" s="4">
        <v>189</v>
      </c>
      <c r="C24" s="14" t="s">
        <v>90</v>
      </c>
      <c r="D24" s="4" t="s">
        <v>9</v>
      </c>
      <c r="E24" s="17" t="s">
        <v>10</v>
      </c>
      <c r="F24" s="15" t="s">
        <v>91</v>
      </c>
    </row>
    <row r="25" spans="1:6" ht="15" customHeight="1" x14ac:dyDescent="0.3">
      <c r="A25" s="4" t="s">
        <v>92</v>
      </c>
      <c r="B25" s="4">
        <v>14828</v>
      </c>
      <c r="C25" s="14" t="s">
        <v>93</v>
      </c>
      <c r="D25" s="4" t="s">
        <v>17</v>
      </c>
      <c r="E25" s="17" t="s">
        <v>18</v>
      </c>
      <c r="F25" s="15" t="s">
        <v>94</v>
      </c>
    </row>
    <row r="26" spans="1:6" ht="15" customHeight="1" x14ac:dyDescent="0.3">
      <c r="A26" s="4" t="s">
        <v>95</v>
      </c>
      <c r="B26" s="4">
        <v>91875</v>
      </c>
      <c r="C26" s="14" t="s">
        <v>96</v>
      </c>
      <c r="D26" s="4" t="s">
        <v>9</v>
      </c>
      <c r="E26" s="17" t="s">
        <v>98</v>
      </c>
      <c r="F26" s="15" t="s">
        <v>97</v>
      </c>
    </row>
    <row r="27" spans="1:6" ht="15" customHeight="1" x14ac:dyDescent="0.3">
      <c r="A27" s="3" t="s">
        <v>99</v>
      </c>
      <c r="B27" s="4">
        <v>1504</v>
      </c>
      <c r="C27" s="14" t="s">
        <v>100</v>
      </c>
      <c r="D27" s="4" t="s">
        <v>17</v>
      </c>
      <c r="E27" s="17" t="s">
        <v>102</v>
      </c>
      <c r="F27" s="15" t="s">
        <v>101</v>
      </c>
    </row>
    <row r="28" spans="1:6" ht="15" customHeight="1" x14ac:dyDescent="0.3">
      <c r="A28" s="7" t="s">
        <v>103</v>
      </c>
      <c r="B28" s="7">
        <v>32285</v>
      </c>
      <c r="C28" s="14" t="s">
        <v>104</v>
      </c>
      <c r="D28" s="7" t="s">
        <v>17</v>
      </c>
      <c r="E28" s="5" t="s">
        <v>106</v>
      </c>
      <c r="F28" s="15" t="s">
        <v>105</v>
      </c>
    </row>
    <row r="29" spans="1:6" ht="15" customHeight="1" x14ac:dyDescent="0.3">
      <c r="A29" s="3" t="s">
        <v>107</v>
      </c>
      <c r="B29" s="4">
        <v>114</v>
      </c>
      <c r="C29" s="14" t="s">
        <v>108</v>
      </c>
      <c r="D29" s="4" t="s">
        <v>17</v>
      </c>
      <c r="E29" s="17" t="s">
        <v>110</v>
      </c>
      <c r="F29" s="15" t="s">
        <v>109</v>
      </c>
    </row>
    <row r="30" spans="1:6" ht="15" customHeight="1" x14ac:dyDescent="0.3">
      <c r="A30" s="7" t="s">
        <v>111</v>
      </c>
      <c r="B30" s="7">
        <v>71445</v>
      </c>
      <c r="C30" s="14" t="s">
        <v>112</v>
      </c>
      <c r="D30" s="7" t="s">
        <v>17</v>
      </c>
      <c r="E30" s="5" t="s">
        <v>106</v>
      </c>
      <c r="F30" s="15" t="s">
        <v>113</v>
      </c>
    </row>
    <row r="31" spans="1:6" ht="15" customHeight="1" x14ac:dyDescent="0.3">
      <c r="A31" s="6" t="s">
        <v>114</v>
      </c>
      <c r="B31" s="6">
        <v>2032</v>
      </c>
      <c r="C31" s="14" t="s">
        <v>115</v>
      </c>
      <c r="D31" s="6" t="s">
        <v>17</v>
      </c>
      <c r="E31" s="18" t="s">
        <v>117</v>
      </c>
      <c r="F31" s="15" t="s">
        <v>116</v>
      </c>
    </row>
    <row r="32" spans="1:6" ht="15" customHeight="1" x14ac:dyDescent="0.3">
      <c r="A32" s="7" t="s">
        <v>118</v>
      </c>
      <c r="B32" s="6">
        <v>3521</v>
      </c>
      <c r="C32" s="14" t="s">
        <v>119</v>
      </c>
      <c r="D32" s="6" t="s">
        <v>17</v>
      </c>
      <c r="E32" s="18" t="s">
        <v>121</v>
      </c>
      <c r="F32" s="15" t="s">
        <v>120</v>
      </c>
    </row>
    <row r="33" spans="1:6" ht="15" customHeight="1" x14ac:dyDescent="0.3">
      <c r="A33" s="3" t="s">
        <v>122</v>
      </c>
      <c r="B33" s="4">
        <v>6583</v>
      </c>
      <c r="C33" s="14" t="s">
        <v>123</v>
      </c>
      <c r="D33" s="4" t="s">
        <v>17</v>
      </c>
      <c r="E33" s="17" t="s">
        <v>125</v>
      </c>
      <c r="F33" s="15" t="s">
        <v>124</v>
      </c>
    </row>
    <row r="34" spans="1:6" ht="15" customHeight="1" x14ac:dyDescent="0.3">
      <c r="A34" s="4" t="s">
        <v>126</v>
      </c>
      <c r="B34" s="4">
        <v>28</v>
      </c>
      <c r="C34" s="14" t="s">
        <v>127</v>
      </c>
      <c r="D34" s="4" t="s">
        <v>17</v>
      </c>
      <c r="E34" s="17" t="s">
        <v>129</v>
      </c>
      <c r="F34" s="15" t="s">
        <v>128</v>
      </c>
    </row>
    <row r="35" spans="1:6" ht="15" customHeight="1" x14ac:dyDescent="0.3">
      <c r="A35" s="3" t="s">
        <v>130</v>
      </c>
      <c r="B35" s="4">
        <v>14058</v>
      </c>
      <c r="C35" s="14" t="s">
        <v>131</v>
      </c>
      <c r="D35" s="4" t="s">
        <v>17</v>
      </c>
      <c r="E35" s="17" t="s">
        <v>133</v>
      </c>
      <c r="F35" s="15" t="s">
        <v>132</v>
      </c>
    </row>
    <row r="36" spans="1:6" ht="15" customHeight="1" x14ac:dyDescent="0.3">
      <c r="A36" s="3" t="s">
        <v>134</v>
      </c>
      <c r="B36" s="4">
        <v>42734</v>
      </c>
      <c r="C36" s="14" t="s">
        <v>135</v>
      </c>
      <c r="D36" s="4" t="s">
        <v>17</v>
      </c>
      <c r="E36" s="17" t="s">
        <v>106</v>
      </c>
      <c r="F36" s="15" t="s">
        <v>136</v>
      </c>
    </row>
    <row r="37" spans="1:6" ht="15" customHeight="1" x14ac:dyDescent="0.3">
      <c r="A37" s="3" t="s">
        <v>137</v>
      </c>
      <c r="B37" s="4">
        <v>39432</v>
      </c>
      <c r="C37" s="14" t="s">
        <v>138</v>
      </c>
      <c r="D37" s="4" t="s">
        <v>17</v>
      </c>
      <c r="E37" s="17" t="s">
        <v>18</v>
      </c>
      <c r="F37" s="15" t="s">
        <v>139</v>
      </c>
    </row>
    <row r="38" spans="1:6" ht="15" customHeight="1" x14ac:dyDescent="0.3">
      <c r="A38" s="4" t="s">
        <v>140</v>
      </c>
      <c r="B38" s="4">
        <v>43876</v>
      </c>
      <c r="C38" s="14" t="s">
        <v>141</v>
      </c>
      <c r="D38" s="4" t="s">
        <v>17</v>
      </c>
      <c r="E38" s="17" t="s">
        <v>143</v>
      </c>
      <c r="F38" s="15" t="s">
        <v>142</v>
      </c>
    </row>
    <row r="39" spans="1:6" ht="15" customHeight="1" x14ac:dyDescent="0.3">
      <c r="A39" s="4" t="s">
        <v>144</v>
      </c>
      <c r="B39" s="4">
        <v>3428</v>
      </c>
      <c r="C39" s="14" t="s">
        <v>145</v>
      </c>
      <c r="D39" s="4" t="s">
        <v>17</v>
      </c>
      <c r="E39" s="17" t="s">
        <v>88</v>
      </c>
      <c r="F39" s="15" t="s">
        <v>146</v>
      </c>
    </row>
    <row r="40" spans="1:6" ht="15" customHeight="1" x14ac:dyDescent="0.3">
      <c r="A40" s="3" t="s">
        <v>147</v>
      </c>
      <c r="B40" s="4">
        <v>6754</v>
      </c>
      <c r="C40" s="14" t="s">
        <v>148</v>
      </c>
      <c r="D40" s="4" t="s">
        <v>17</v>
      </c>
      <c r="E40" s="17" t="s">
        <v>150</v>
      </c>
      <c r="F40" s="15" t="s">
        <v>149</v>
      </c>
    </row>
    <row r="41" spans="1:6" ht="15" customHeight="1" x14ac:dyDescent="0.3">
      <c r="A41" s="3" t="s">
        <v>151</v>
      </c>
      <c r="B41" s="3">
        <v>3121</v>
      </c>
      <c r="C41" s="14" t="s">
        <v>152</v>
      </c>
      <c r="D41" s="3" t="s">
        <v>17</v>
      </c>
      <c r="E41" s="11" t="s">
        <v>154</v>
      </c>
      <c r="F41" s="15" t="s">
        <v>153</v>
      </c>
    </row>
    <row r="42" spans="1:6" ht="15" customHeight="1" x14ac:dyDescent="0.3">
      <c r="A42" s="3" t="s">
        <v>155</v>
      </c>
      <c r="B42" s="4">
        <v>2832</v>
      </c>
      <c r="C42" s="14" t="s">
        <v>156</v>
      </c>
      <c r="D42" s="4"/>
      <c r="E42" s="17"/>
      <c r="F42" s="15" t="s">
        <v>157</v>
      </c>
    </row>
    <row r="43" spans="1:6" ht="15" customHeight="1" x14ac:dyDescent="0.3">
      <c r="A43" s="4" t="s">
        <v>158</v>
      </c>
      <c r="B43" s="4">
        <v>9902</v>
      </c>
      <c r="C43" s="14" t="s">
        <v>159</v>
      </c>
      <c r="D43" s="4" t="s">
        <v>17</v>
      </c>
      <c r="E43" s="17" t="s">
        <v>161</v>
      </c>
      <c r="F43" s="15" t="s">
        <v>160</v>
      </c>
    </row>
    <row r="44" spans="1:6" ht="15" customHeight="1" x14ac:dyDescent="0.3">
      <c r="A44" s="3" t="s">
        <v>162</v>
      </c>
      <c r="B44" s="4">
        <v>164551</v>
      </c>
      <c r="C44" s="14" t="s">
        <v>163</v>
      </c>
      <c r="D44" s="4" t="s">
        <v>17</v>
      </c>
      <c r="E44" s="17" t="s">
        <v>18</v>
      </c>
      <c r="F44" s="15" t="s">
        <v>164</v>
      </c>
    </row>
    <row r="45" spans="1:6" ht="15" customHeight="1" x14ac:dyDescent="0.3">
      <c r="A45" s="4" t="s">
        <v>165</v>
      </c>
      <c r="B45" s="4">
        <v>8518</v>
      </c>
      <c r="C45" s="14" t="s">
        <v>166</v>
      </c>
      <c r="D45" s="4" t="s">
        <v>17</v>
      </c>
      <c r="E45" s="17" t="s">
        <v>168</v>
      </c>
      <c r="F45" s="15" t="s">
        <v>167</v>
      </c>
    </row>
    <row r="46" spans="1:6" ht="15" customHeight="1" x14ac:dyDescent="0.3">
      <c r="A46" s="3" t="s">
        <v>169</v>
      </c>
      <c r="B46" s="4">
        <v>17617</v>
      </c>
      <c r="C46" s="14" t="s">
        <v>170</v>
      </c>
      <c r="D46" s="4" t="s">
        <v>17</v>
      </c>
      <c r="E46" s="17" t="s">
        <v>172</v>
      </c>
      <c r="F46" s="15" t="s">
        <v>171</v>
      </c>
    </row>
    <row r="47" spans="1:6" ht="15" customHeight="1" x14ac:dyDescent="0.3">
      <c r="A47" s="3" t="s">
        <v>173</v>
      </c>
      <c r="B47" s="3">
        <v>114</v>
      </c>
      <c r="C47" s="14" t="s">
        <v>174</v>
      </c>
      <c r="D47" s="3" t="s">
        <v>17</v>
      </c>
      <c r="E47" s="11" t="s">
        <v>176</v>
      </c>
      <c r="F47" s="15" t="s">
        <v>175</v>
      </c>
    </row>
    <row r="48" spans="1:6" ht="15" customHeight="1" x14ac:dyDescent="0.3">
      <c r="A48" s="3" t="s">
        <v>177</v>
      </c>
      <c r="B48" s="4">
        <v>1328</v>
      </c>
      <c r="C48" s="14" t="s">
        <v>178</v>
      </c>
      <c r="D48" s="4" t="s">
        <v>9</v>
      </c>
      <c r="E48" s="17" t="s">
        <v>98</v>
      </c>
      <c r="F48" s="15" t="s">
        <v>179</v>
      </c>
    </row>
    <row r="49" spans="1:6" ht="15" customHeight="1" x14ac:dyDescent="0.3">
      <c r="A49" s="7" t="s">
        <v>180</v>
      </c>
      <c r="B49" s="7">
        <v>61308</v>
      </c>
      <c r="C49" s="14" t="s">
        <v>181</v>
      </c>
      <c r="D49" s="7" t="s">
        <v>17</v>
      </c>
      <c r="E49" s="5" t="s">
        <v>183</v>
      </c>
      <c r="F49" s="15" t="s">
        <v>182</v>
      </c>
    </row>
    <row r="50" spans="1:6" ht="15" customHeight="1" x14ac:dyDescent="0.3">
      <c r="A50" s="7" t="s">
        <v>184</v>
      </c>
      <c r="B50" s="6">
        <v>2170</v>
      </c>
      <c r="C50" s="14" t="s">
        <v>185</v>
      </c>
      <c r="D50" s="6" t="s">
        <v>9</v>
      </c>
      <c r="E50" s="18" t="s">
        <v>54</v>
      </c>
      <c r="F50" s="15" t="s">
        <v>186</v>
      </c>
    </row>
    <row r="51" spans="1:6" ht="15" customHeight="1" x14ac:dyDescent="0.3">
      <c r="A51" s="3" t="s">
        <v>187</v>
      </c>
      <c r="B51" s="4">
        <v>4025</v>
      </c>
      <c r="C51" s="14" t="s">
        <v>188</v>
      </c>
      <c r="D51" s="4" t="s">
        <v>9</v>
      </c>
      <c r="E51" s="17" t="s">
        <v>54</v>
      </c>
      <c r="F51" s="15" t="s">
        <v>189</v>
      </c>
    </row>
    <row r="52" spans="1:6" ht="15" customHeight="1" x14ac:dyDescent="0.3">
      <c r="A52" s="3" t="s">
        <v>190</v>
      </c>
      <c r="B52" s="3">
        <v>481</v>
      </c>
      <c r="C52" s="14" t="s">
        <v>191</v>
      </c>
      <c r="D52" s="3" t="s">
        <v>17</v>
      </c>
      <c r="E52" s="11" t="s">
        <v>183</v>
      </c>
      <c r="F52" s="15" t="s">
        <v>192</v>
      </c>
    </row>
    <row r="53" spans="1:6" ht="15" customHeight="1" x14ac:dyDescent="0.3">
      <c r="A53" s="3" t="s">
        <v>193</v>
      </c>
      <c r="B53" s="4">
        <v>746435</v>
      </c>
      <c r="C53" s="14" t="s">
        <v>194</v>
      </c>
      <c r="D53" s="4" t="s">
        <v>17</v>
      </c>
      <c r="E53" s="17" t="s">
        <v>196</v>
      </c>
      <c r="F53" s="15" t="s">
        <v>195</v>
      </c>
    </row>
    <row r="54" spans="1:6" ht="15" customHeight="1" x14ac:dyDescent="0.3">
      <c r="A54" s="3" t="s">
        <v>197</v>
      </c>
      <c r="B54" s="4">
        <v>1875</v>
      </c>
      <c r="C54" s="14" t="s">
        <v>198</v>
      </c>
      <c r="D54" s="4" t="s">
        <v>9</v>
      </c>
      <c r="E54" s="17" t="s">
        <v>200</v>
      </c>
      <c r="F54" s="15" t="s">
        <v>199</v>
      </c>
    </row>
    <row r="55" spans="1:6" ht="15" customHeight="1" x14ac:dyDescent="0.3">
      <c r="A55" s="3" t="s">
        <v>201</v>
      </c>
      <c r="B55" s="4">
        <v>1393831</v>
      </c>
      <c r="C55" s="14" t="s">
        <v>202</v>
      </c>
      <c r="D55" s="4" t="s">
        <v>17</v>
      </c>
      <c r="E55" s="17" t="s">
        <v>76</v>
      </c>
      <c r="F55" s="15" t="s">
        <v>203</v>
      </c>
    </row>
    <row r="56" spans="1:6" ht="15" customHeight="1" x14ac:dyDescent="0.3">
      <c r="A56" s="3" t="s">
        <v>204</v>
      </c>
      <c r="B56" s="4">
        <f>72122+88732</f>
        <v>160854</v>
      </c>
      <c r="C56" s="14" t="s">
        <v>205</v>
      </c>
      <c r="D56" s="4" t="s">
        <v>17</v>
      </c>
      <c r="E56" s="17" t="s">
        <v>207</v>
      </c>
      <c r="F56" s="15" t="s">
        <v>206</v>
      </c>
    </row>
    <row r="57" spans="1:6" ht="15" customHeight="1" x14ac:dyDescent="0.3">
      <c r="A57" s="3" t="s">
        <v>208</v>
      </c>
      <c r="B57" s="4">
        <v>538987</v>
      </c>
      <c r="C57" s="14" t="s">
        <v>209</v>
      </c>
      <c r="D57" s="4" t="s">
        <v>9</v>
      </c>
      <c r="E57" s="17" t="s">
        <v>54</v>
      </c>
      <c r="F57" s="15" t="s">
        <v>210</v>
      </c>
    </row>
    <row r="58" spans="1:6" ht="15" customHeight="1" x14ac:dyDescent="0.3">
      <c r="A58" s="3" t="s">
        <v>211</v>
      </c>
      <c r="B58" s="4">
        <v>41378</v>
      </c>
      <c r="C58" s="14" t="s">
        <v>212</v>
      </c>
      <c r="D58" s="4" t="s">
        <v>17</v>
      </c>
      <c r="E58" s="17" t="s">
        <v>102</v>
      </c>
      <c r="F58" s="15" t="s">
        <v>213</v>
      </c>
    </row>
    <row r="59" spans="1:6" ht="15" customHeight="1" x14ac:dyDescent="0.3">
      <c r="A59" s="4" t="s">
        <v>214</v>
      </c>
      <c r="B59" s="4">
        <v>51</v>
      </c>
      <c r="C59" s="14" t="s">
        <v>215</v>
      </c>
      <c r="D59" s="4" t="s">
        <v>17</v>
      </c>
      <c r="E59" s="17" t="s">
        <v>18</v>
      </c>
      <c r="F59" s="15" t="s">
        <v>216</v>
      </c>
    </row>
    <row r="60" spans="1:6" ht="15" customHeight="1" x14ac:dyDescent="0.3">
      <c r="A60" s="3" t="s">
        <v>217</v>
      </c>
      <c r="B60" s="4">
        <v>2197</v>
      </c>
      <c r="C60" s="14" t="s">
        <v>218</v>
      </c>
      <c r="D60" s="4" t="s">
        <v>17</v>
      </c>
      <c r="E60" s="17" t="s">
        <v>150</v>
      </c>
      <c r="F60" s="15" t="s">
        <v>219</v>
      </c>
    </row>
    <row r="61" spans="1:6" ht="15" customHeight="1" x14ac:dyDescent="0.3">
      <c r="A61" s="4" t="s">
        <v>220</v>
      </c>
      <c r="B61" s="4">
        <v>18261</v>
      </c>
      <c r="C61" s="14" t="s">
        <v>221</v>
      </c>
      <c r="D61" s="4" t="s">
        <v>17</v>
      </c>
      <c r="E61" s="17" t="s">
        <v>117</v>
      </c>
      <c r="F61" s="15" t="s">
        <v>222</v>
      </c>
    </row>
    <row r="62" spans="1:6" ht="15" customHeight="1" x14ac:dyDescent="0.3">
      <c r="A62" s="4" t="s">
        <v>223</v>
      </c>
      <c r="B62" s="4">
        <v>258</v>
      </c>
      <c r="C62" s="14" t="s">
        <v>224</v>
      </c>
      <c r="D62" s="4" t="s">
        <v>9</v>
      </c>
      <c r="E62" s="17" t="s">
        <v>54</v>
      </c>
      <c r="F62" s="15" t="s">
        <v>225</v>
      </c>
    </row>
    <row r="63" spans="1:6" ht="15" customHeight="1" x14ac:dyDescent="0.3">
      <c r="A63" s="4" t="s">
        <v>226</v>
      </c>
      <c r="B63" s="4">
        <v>2243578</v>
      </c>
      <c r="C63" s="14" t="s">
        <v>227</v>
      </c>
      <c r="D63" s="4" t="s">
        <v>17</v>
      </c>
      <c r="E63" s="17" t="s">
        <v>84</v>
      </c>
      <c r="F63" s="15" t="s">
        <v>228</v>
      </c>
    </row>
    <row r="64" spans="1:6" ht="15" customHeight="1" x14ac:dyDescent="0.3">
      <c r="A64" s="3" t="s">
        <v>229</v>
      </c>
      <c r="B64" s="4">
        <v>108942</v>
      </c>
      <c r="C64" s="14" t="s">
        <v>230</v>
      </c>
      <c r="D64" s="4" t="s">
        <v>17</v>
      </c>
      <c r="E64" s="17" t="s">
        <v>207</v>
      </c>
      <c r="F64" s="15" t="s">
        <v>231</v>
      </c>
    </row>
    <row r="65" spans="1:6" ht="15" customHeight="1" x14ac:dyDescent="0.3">
      <c r="A65" s="3" t="s">
        <v>232</v>
      </c>
      <c r="B65" s="4">
        <v>616</v>
      </c>
      <c r="C65" s="14" t="s">
        <v>232</v>
      </c>
      <c r="D65" s="4"/>
      <c r="E65" s="17"/>
      <c r="F65" s="15" t="s">
        <v>233</v>
      </c>
    </row>
    <row r="66" spans="1:6" ht="15" customHeight="1" x14ac:dyDescent="0.3">
      <c r="A66" s="3" t="s">
        <v>234</v>
      </c>
      <c r="B66" s="4">
        <v>2399</v>
      </c>
      <c r="C66" s="14" t="s">
        <v>86</v>
      </c>
      <c r="D66" s="4" t="s">
        <v>17</v>
      </c>
      <c r="E66" s="17" t="s">
        <v>88</v>
      </c>
      <c r="F66" s="15" t="s">
        <v>235</v>
      </c>
    </row>
    <row r="67" spans="1:6" ht="15" customHeight="1" x14ac:dyDescent="0.3">
      <c r="A67" s="3" t="s">
        <v>236</v>
      </c>
      <c r="B67" s="4">
        <v>1016847</v>
      </c>
      <c r="C67" s="14" t="s">
        <v>237</v>
      </c>
      <c r="D67" s="4" t="s">
        <v>9</v>
      </c>
      <c r="E67" s="17" t="s">
        <v>54</v>
      </c>
      <c r="F67" s="15" t="s">
        <v>238</v>
      </c>
    </row>
    <row r="68" spans="1:6" ht="15" customHeight="1" x14ac:dyDescent="0.3">
      <c r="A68" s="3" t="s">
        <v>239</v>
      </c>
      <c r="B68" s="8">
        <v>1560659</v>
      </c>
      <c r="C68" s="14" t="s">
        <v>240</v>
      </c>
      <c r="D68" s="8"/>
      <c r="E68" s="19"/>
      <c r="F68" s="15" t="s">
        <v>241</v>
      </c>
    </row>
    <row r="69" spans="1:6" ht="15" customHeight="1" x14ac:dyDescent="0.3">
      <c r="A69" s="7" t="s">
        <v>243</v>
      </c>
      <c r="B69" s="3">
        <v>68062</v>
      </c>
      <c r="C69" s="15" t="s">
        <v>244</v>
      </c>
      <c r="D69" s="3" t="s">
        <v>242</v>
      </c>
      <c r="E69" s="11" t="s">
        <v>246</v>
      </c>
      <c r="F69" s="15" t="s">
        <v>245</v>
      </c>
    </row>
    <row r="70" spans="1:6" ht="15" customHeight="1" x14ac:dyDescent="0.3">
      <c r="A70" s="7" t="s">
        <v>247</v>
      </c>
      <c r="B70" s="3">
        <v>1000</v>
      </c>
      <c r="C70" s="15" t="s">
        <v>248</v>
      </c>
      <c r="D70" s="3"/>
      <c r="E70" s="11"/>
      <c r="F70" s="15"/>
    </row>
    <row r="71" spans="1:6" ht="15" customHeight="1" x14ac:dyDescent="0.3">
      <c r="A71" s="7" t="s">
        <v>249</v>
      </c>
      <c r="B71" s="3">
        <v>235846</v>
      </c>
      <c r="C71" s="15" t="s">
        <v>250</v>
      </c>
      <c r="D71" s="3" t="s">
        <v>9</v>
      </c>
      <c r="E71" s="11" t="s">
        <v>54</v>
      </c>
      <c r="F71" s="15" t="s">
        <v>251</v>
      </c>
    </row>
    <row r="72" spans="1:6" ht="15" customHeight="1" x14ac:dyDescent="0.3">
      <c r="A72" s="7" t="s">
        <v>252</v>
      </c>
      <c r="B72" s="3">
        <v>211875</v>
      </c>
      <c r="C72" s="15" t="s">
        <v>253</v>
      </c>
      <c r="D72" s="3"/>
      <c r="E72" s="11"/>
      <c r="F72" s="15" t="s">
        <v>254</v>
      </c>
    </row>
    <row r="73" spans="1:6" ht="15" customHeight="1" x14ac:dyDescent="0.3">
      <c r="A73" s="7" t="s">
        <v>255</v>
      </c>
      <c r="B73" s="3">
        <v>2202</v>
      </c>
      <c r="C73" s="15" t="s">
        <v>256</v>
      </c>
      <c r="D73" s="3"/>
      <c r="E73" s="11"/>
      <c r="F73" s="15"/>
    </row>
    <row r="74" spans="1:6" ht="15" customHeight="1" x14ac:dyDescent="0.3">
      <c r="A74" s="7" t="s">
        <v>257</v>
      </c>
      <c r="B74" s="3">
        <v>3525985</v>
      </c>
      <c r="C74" s="15" t="s">
        <v>258</v>
      </c>
      <c r="D74" s="3" t="s">
        <v>9</v>
      </c>
      <c r="E74" s="11"/>
      <c r="F74" s="15" t="s">
        <v>259</v>
      </c>
    </row>
    <row r="75" spans="1:6" ht="15" customHeight="1" x14ac:dyDescent="0.3">
      <c r="A75" s="7" t="s">
        <v>260</v>
      </c>
      <c r="B75" s="3">
        <v>651</v>
      </c>
      <c r="C75" s="15" t="s">
        <v>260</v>
      </c>
      <c r="D75" s="3"/>
      <c r="E75" s="11"/>
      <c r="F75" s="15"/>
    </row>
    <row r="76" spans="1:6" ht="15" customHeight="1" x14ac:dyDescent="0.3">
      <c r="A76" s="7" t="s">
        <v>261</v>
      </c>
      <c r="B76" s="3">
        <v>2752</v>
      </c>
      <c r="C76" s="15" t="s">
        <v>262</v>
      </c>
      <c r="D76" s="3" t="s">
        <v>17</v>
      </c>
      <c r="E76" s="11" t="s">
        <v>150</v>
      </c>
      <c r="F76" s="15" t="s">
        <v>263</v>
      </c>
    </row>
    <row r="77" spans="1:6" ht="15" customHeight="1" x14ac:dyDescent="0.3">
      <c r="A77" s="7" t="s">
        <v>264</v>
      </c>
      <c r="B77" s="3">
        <v>41</v>
      </c>
      <c r="C77" s="15"/>
      <c r="D77" s="3" t="s">
        <v>9</v>
      </c>
      <c r="E77" s="11" t="s">
        <v>54</v>
      </c>
      <c r="F77" s="15"/>
    </row>
    <row r="78" spans="1:6" ht="15" customHeight="1" x14ac:dyDescent="0.3">
      <c r="A78" s="7" t="s">
        <v>265</v>
      </c>
      <c r="B78" s="3">
        <v>565335</v>
      </c>
      <c r="C78" s="15" t="s">
        <v>266</v>
      </c>
      <c r="D78" s="3" t="s">
        <v>17</v>
      </c>
      <c r="E78" s="11" t="s">
        <v>268</v>
      </c>
      <c r="F78" s="15" t="s">
        <v>267</v>
      </c>
    </row>
    <row r="79" spans="1:6" ht="15" customHeight="1" x14ac:dyDescent="0.3">
      <c r="A79" s="7" t="s">
        <v>269</v>
      </c>
      <c r="B79" s="3">
        <v>30089</v>
      </c>
      <c r="C79" s="15" t="s">
        <v>270</v>
      </c>
      <c r="D79" s="3" t="s">
        <v>17</v>
      </c>
      <c r="E79" s="11" t="s">
        <v>272</v>
      </c>
      <c r="F79" s="15" t="s">
        <v>271</v>
      </c>
    </row>
    <row r="80" spans="1:6" ht="15" customHeight="1" x14ac:dyDescent="0.3">
      <c r="A80" s="7" t="s">
        <v>273</v>
      </c>
      <c r="B80" s="3">
        <v>9538</v>
      </c>
      <c r="C80" s="15" t="s">
        <v>274</v>
      </c>
      <c r="D80" s="3" t="s">
        <v>17</v>
      </c>
      <c r="E80" s="11" t="s">
        <v>272</v>
      </c>
      <c r="F80" s="15" t="s">
        <v>275</v>
      </c>
    </row>
    <row r="81" spans="1:6" ht="15" customHeight="1" x14ac:dyDescent="0.3">
      <c r="A81" s="7" t="s">
        <v>276</v>
      </c>
      <c r="B81" s="3">
        <v>12620</v>
      </c>
      <c r="C81" s="15" t="s">
        <v>277</v>
      </c>
      <c r="D81" s="3" t="s">
        <v>17</v>
      </c>
      <c r="E81" s="11" t="s">
        <v>279</v>
      </c>
      <c r="F81" s="15" t="s">
        <v>278</v>
      </c>
    </row>
    <row r="82" spans="1:6" ht="15" customHeight="1" x14ac:dyDescent="0.3">
      <c r="A82" s="7" t="s">
        <v>280</v>
      </c>
      <c r="B82" s="3">
        <v>635928</v>
      </c>
      <c r="C82" s="15" t="s">
        <v>281</v>
      </c>
      <c r="D82" s="3" t="s">
        <v>242</v>
      </c>
      <c r="E82" s="11" t="s">
        <v>283</v>
      </c>
      <c r="F82" s="15" t="s">
        <v>282</v>
      </c>
    </row>
    <row r="83" spans="1:6" ht="15" customHeight="1" x14ac:dyDescent="0.3">
      <c r="A83" s="7" t="s">
        <v>284</v>
      </c>
      <c r="B83" s="3">
        <v>6666</v>
      </c>
      <c r="C83" s="15" t="s">
        <v>285</v>
      </c>
      <c r="D83" s="3" t="s">
        <v>17</v>
      </c>
      <c r="E83" s="11" t="s">
        <v>272</v>
      </c>
      <c r="F83" s="15" t="s">
        <v>286</v>
      </c>
    </row>
    <row r="84" spans="1:6" ht="15" customHeight="1" x14ac:dyDescent="0.3">
      <c r="A84" s="7" t="s">
        <v>287</v>
      </c>
      <c r="B84" s="3">
        <v>190669</v>
      </c>
      <c r="C84" s="15" t="s">
        <v>288</v>
      </c>
      <c r="D84" s="3" t="s">
        <v>17</v>
      </c>
      <c r="E84" s="11" t="s">
        <v>268</v>
      </c>
      <c r="F84" s="15" t="s">
        <v>289</v>
      </c>
    </row>
    <row r="85" spans="1:6" ht="15" customHeight="1" x14ac:dyDescent="0.3">
      <c r="A85" s="7" t="s">
        <v>290</v>
      </c>
      <c r="B85" s="3">
        <v>38578</v>
      </c>
      <c r="C85" s="15" t="s">
        <v>291</v>
      </c>
      <c r="D85" s="3" t="s">
        <v>17</v>
      </c>
      <c r="E85" s="11" t="s">
        <v>293</v>
      </c>
      <c r="F85" s="15" t="s">
        <v>292</v>
      </c>
    </row>
    <row r="86" spans="1:6" ht="15" customHeight="1" x14ac:dyDescent="0.3">
      <c r="A86" s="7" t="s">
        <v>294</v>
      </c>
      <c r="B86" s="3">
        <v>78</v>
      </c>
      <c r="C86" s="15" t="s">
        <v>295</v>
      </c>
      <c r="D86" s="3" t="s">
        <v>9</v>
      </c>
      <c r="E86" s="11" t="s">
        <v>297</v>
      </c>
      <c r="F86" s="15" t="s">
        <v>296</v>
      </c>
    </row>
    <row r="87" spans="1:6" ht="15" customHeight="1" x14ac:dyDescent="0.3">
      <c r="A87" s="7" t="s">
        <v>298</v>
      </c>
      <c r="B87" s="3">
        <v>7692</v>
      </c>
      <c r="C87" s="15" t="s">
        <v>299</v>
      </c>
      <c r="D87" s="3" t="s">
        <v>242</v>
      </c>
      <c r="E87" s="11" t="s">
        <v>301</v>
      </c>
      <c r="F87" s="15" t="s">
        <v>300</v>
      </c>
    </row>
  </sheetData>
  <hyperlinks>
    <hyperlink ref="C9" r:id="rId1"/>
    <hyperlink ref="C61" r:id="rId2"/>
    <hyperlink ref="C62" r:id="rId3"/>
    <hyperlink ref="C59" r:id="rId4"/>
    <hyperlink ref="C60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2024-12-09T15:19:17Z</dcterms:modified>
</cp:coreProperties>
</file>